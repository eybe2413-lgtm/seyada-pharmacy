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270"/>
  </bookViews>
  <sheets>
    <sheet name="releve" sheetId="1" r:id="rId1"/>
  </sheets>
  <calcPr calcId="144525"/>
</workbook>
</file>

<file path=xl/calcChain.xml><?xml version="1.0" encoding="utf-8"?>
<calcChain xmlns="http://schemas.openxmlformats.org/spreadsheetml/2006/main">
  <c r="E54" i="1" l="1"/>
  <c r="F5" i="1"/>
  <c r="F54" i="1"/>
  <c r="G5" i="1" l="1"/>
</calcChain>
</file>

<file path=xl/sharedStrings.xml><?xml version="1.0" encoding="utf-8"?>
<sst xmlns="http://schemas.openxmlformats.org/spreadsheetml/2006/main" count="54" uniqueCount="39">
  <si>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</si>
  <si>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</si>
  <si>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</si>
  <si>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</si>
  <si>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</si>
  <si>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</si>
  <si>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</si>
  <si>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</si>
  <si>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</si>
  <si>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</si>
  <si>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</si>
  <si>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</si>
  <si>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</si>
  <si>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</si>
  <si>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</si>
  <si>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</si>
  <si>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</si>
  <si>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</si>
  <si>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</si>
  <si>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00100130051121665012138</t>
  </si>
  <si>
    <t>ADEL BAGROU</t>
  </si>
  <si>
    <t>VMA-07685878</t>
  </si>
  <si>
    <t>RTC-07686067</t>
  </si>
  <si>
    <t>RTD-07686331</t>
  </si>
  <si>
    <t>RTD-07692689</t>
  </si>
  <si>
    <t>VMA-07699715</t>
  </si>
  <si>
    <t>RTC-07700536</t>
  </si>
  <si>
    <t>Retrait déplacé N° 5638590 - Nouakchott-ksar</t>
  </si>
  <si>
    <t>Retrait déplacé N° 5638502 - Nouakchott-ksar</t>
  </si>
  <si>
    <t xml:space="preserve">Retrait par chèque - titulaire N° 5630589 </t>
  </si>
  <si>
    <t>Virement interne  - Num-2005039513</t>
  </si>
  <si>
    <t>Retrait par chèque - titulaire N° 5638593</t>
  </si>
  <si>
    <t>17/03/2026</t>
  </si>
  <si>
    <t>19/03/2026</t>
  </si>
  <si>
    <t>25/03/2026</t>
  </si>
  <si>
    <t>26/03/2026</t>
  </si>
  <si>
    <t>Virement interne  - Num-2005039512</t>
  </si>
  <si>
    <t>Virement interne P - Num-2005039512</t>
  </si>
  <si>
    <t>Virement interne - Num-2005039513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</si>
</sst>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;\(#,##0.00\)"/>
    <numFmt numFmtId="165" formatCode="dd\/mm\/yyyy"/>
    <numFmt numFmtId="166" formatCode="#,##0.0"/>
    <numFmt numFmtId="167" formatCode="#,##0.0000000000"/>
    <numFmt numFmtId="168" formatCode="dd\-mm\-yyyy;@"/>
  </numFmts>
  <fonts count="13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0" xfId="0" applyFont="1" applyFill="1" applyAlignment="1">
      <alignment horizontal="left"/>
    </xf>
    <xf numFmtId="0" fontId="4" fillId="3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/>
      <protection locked="0"/>
    </xf>
    <xf numFmtId="49" fontId="4" fillId="3" borderId="1" xfId="0" applyNumberFormat="1" applyFont="1" applyFill="1" applyBorder="1" applyAlignment="1" applyProtection="1">
      <alignment vertical="center"/>
      <protection locked="0"/>
    </xf>
    <xf numFmtId="49" fontId="4" fillId="3" borderId="1" xfId="0" applyNumberFormat="1" applyFont="1" applyFill="1" applyBorder="1" applyAlignment="1" applyProtection="1">
      <alignment horizontal="center" vertical="center"/>
      <protection locked="0"/>
    </xf>
    <xf numFmtId="14" fontId="2" fillId="2" borderId="1" xfId="0" applyNumberFormat="1" applyFont="1" applyFill="1" applyBorder="1" applyAlignment="1" applyProtection="1">
      <alignment horizontal="left"/>
      <protection locked="0"/>
    </xf>
    <xf numFmtId="14" fontId="5" fillId="3" borderId="1" xfId="0" applyNumberFormat="1" applyFont="1" applyFill="1" applyBorder="1" applyAlignment="1" applyProtection="1">
      <alignment vertical="center"/>
      <protection locked="0"/>
    </xf>
    <xf numFmtId="164" fontId="5" fillId="3" borderId="1" xfId="0" applyNumberFormat="1" applyFont="1" applyFill="1" applyBorder="1" applyAlignment="1" applyProtection="1">
      <alignment vertical="center"/>
      <protection locked="0"/>
    </xf>
    <xf numFmtId="49" fontId="4" fillId="3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vertical="center"/>
    </xf>
    <xf numFmtId="4" fontId="3" fillId="2" borderId="1" xfId="0" applyNumberFormat="1" applyFont="1" applyFill="1" applyBorder="1" applyAlignment="1">
      <alignment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3" fillId="4" borderId="4" xfId="0" applyNumberFormat="1" applyFont="1" applyFill="1" applyBorder="1" applyAlignment="1">
      <alignment vertical="center" wrapText="1"/>
    </xf>
    <xf numFmtId="49" fontId="3" fillId="4" borderId="0" xfId="0" applyNumberFormat="1" applyFont="1" applyFill="1" applyAlignment="1">
      <alignment vertical="center" wrapText="1"/>
    </xf>
    <xf numFmtId="49" fontId="3" fillId="4" borderId="0" xfId="0" applyNumberFormat="1" applyFont="1" applyFill="1" applyAlignment="1">
      <alignment horizontal="center" vertical="center" wrapText="1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 applyProtection="1">
      <alignment vertical="center" wrapText="1"/>
      <protection locked="0"/>
    </xf>
    <xf numFmtId="164" fontId="4" fillId="0" borderId="1" xfId="0" applyNumberFormat="1" applyFont="1" applyBorder="1" applyAlignment="1" applyProtection="1">
      <alignment horizontal="right" vertical="center"/>
      <protection locked="0"/>
    </xf>
    <xf numFmtId="49" fontId="3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164" fontId="5" fillId="4" borderId="5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49" fontId="8" fillId="3" borderId="1" xfId="0" applyNumberFormat="1" applyFont="1" applyFill="1" applyBorder="1" applyAlignment="1" applyProtection="1">
      <alignment horizontal="left" vertical="center" indent="1"/>
      <protection locked="0"/>
    </xf>
    <xf numFmtId="49" fontId="8" fillId="3" borderId="1" xfId="0" applyNumberFormat="1" applyFont="1" applyFill="1" applyBorder="1" applyAlignment="1" applyProtection="1">
      <alignment vertical="center"/>
      <protection locked="0"/>
    </xf>
    <xf numFmtId="49" fontId="9" fillId="0" borderId="1" xfId="0" applyNumberFormat="1" applyFont="1" applyBorder="1" applyAlignment="1" applyProtection="1">
      <alignment vertical="center" wrapText="1"/>
      <protection locked="0"/>
    </xf>
    <xf numFmtId="4" fontId="2" fillId="2" borderId="0" xfId="0" applyNumberFormat="1" applyFont="1" applyFill="1" applyAlignment="1" applyProtection="1">
      <alignment horizontal="left"/>
      <protection locked="0"/>
    </xf>
    <xf numFmtId="0" fontId="8" fillId="2" borderId="0" xfId="0" applyFont="1" applyFill="1" applyAlignment="1" applyProtection="1">
      <alignment horizontal="left"/>
      <protection locked="0"/>
    </xf>
    <xf numFmtId="166" fontId="2" fillId="2" borderId="0" xfId="0" applyNumberFormat="1" applyFont="1" applyFill="1" applyAlignment="1" applyProtection="1">
      <alignment horizontal="left"/>
      <protection locked="0"/>
    </xf>
    <xf numFmtId="167" fontId="8" fillId="2" borderId="0" xfId="0" applyNumberFormat="1" applyFont="1" applyFill="1" applyAlignment="1" applyProtection="1">
      <alignment horizontal="left"/>
      <protection locked="0"/>
    </xf>
    <xf numFmtId="164" fontId="10" fillId="0" borderId="1" xfId="0" applyNumberFormat="1" applyFont="1" applyBorder="1" applyAlignment="1" applyProtection="1">
      <alignment horizontal="right" vertical="center"/>
      <protection locked="0"/>
    </xf>
    <xf numFmtId="167" fontId="2" fillId="2" borderId="0" xfId="0" applyNumberFormat="1" applyFont="1" applyFill="1" applyAlignment="1" applyProtection="1">
      <alignment horizontal="left"/>
      <protection locked="0"/>
    </xf>
    <xf numFmtId="168" fontId="11" fillId="0" borderId="6" xfId="0" applyNumberFormat="1" applyFont="1" applyFill="1" applyBorder="1" applyAlignment="1" applyProtection="1">
      <alignment horizontal="right" vertical="top" indent="3" shrinkToFit="1"/>
      <protection locked="0"/>
    </xf>
    <xf numFmtId="0" fontId="12" fillId="0" borderId="7" xfId="0" applyFont="1" applyFill="1" applyBorder="1" applyAlignment="1" applyProtection="1">
      <alignment vertical="top" wrapText="1"/>
      <protection locked="0"/>
    </xf>
    <xf numFmtId="4" fontId="11" fillId="0" borderId="6" xfId="0" applyNumberFormat="1" applyFont="1" applyFill="1" applyBorder="1" applyAlignment="1" applyProtection="1">
      <alignment horizontal="left" vertical="top" shrinkToFit="1"/>
      <protection locked="0"/>
    </xf>
    <xf numFmtId="0" fontId="0" fillId="0" borderId="6" xfId="0" applyFill="1" applyBorder="1" applyAlignment="1" applyProtection="1">
      <alignment horizontal="left" vertical="center" wrapText="1"/>
      <protection locked="0"/>
    </xf>
    <xf numFmtId="2" fontId="11" fillId="0" borderId="6" xfId="0" applyNumberFormat="1" applyFont="1" applyFill="1" applyBorder="1" applyAlignment="1" applyProtection="1">
      <alignment horizontal="left" vertical="top" shrinkToFit="1"/>
      <protection locked="0"/>
    </xf>
    <xf numFmtId="0" fontId="0" fillId="0" borderId="1" xfId="0" applyBorder="1" applyProtection="1">
      <protection locked="0"/>
    </xf>
    <xf numFmtId="0" fontId="10" fillId="0" borderId="1" xfId="0" applyFont="1" applyBorder="1" applyProtection="1">
      <protection locked="0"/>
    </xf>
  </cellXfs>
  <cellStyles count="2">
    <cellStyle name="Normal" xfId="0" builtinId="0"/>
    <cellStyle name="Normal 2" xfId="1"/>
  </cellStyles>
  <dxfs count="3"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C19" sqref="C19"/>
    </sheetView>
  </sheetViews>
  <sheetFormatPr baseColWidth="10" defaultRowHeight="12.75"/>
  <cols>
    <col min="1" max="1" width="17.5703125" customWidth="1"/>
    <col min="2" max="2" width="24.5703125" customWidth="1"/>
    <col min="3" max="3" width="31.5703125" customWidth="1"/>
    <col min="4" max="4" width="43.140625" bestFit="1" customWidth="1"/>
    <col min="5" max="5" width="20.140625" customWidth="1"/>
    <col min="6" max="6" width="19.5703125" customWidth="1"/>
    <col min="7" max="7" width="19.85546875" customWidth="1"/>
    <col min="8" max="8" width="21" customWidth="1"/>
    <col min="9" max="9" width="4.7109375" customWidth="1"/>
  </cols>
  <sheetData>
    <row r="1" spans="1:8" s="1" customFormat="1" ht="19.149999999999999" customHeight="1">
      <c r="A1" s="23" t="s">
        <v>0</v>
      </c>
      <c r="B1" s="5" t="s">
        <v>20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>
      <c r="A2" s="23" t="s">
        <v>1</v>
      </c>
      <c r="B2" s="33" t="s">
        <v>19</v>
      </c>
      <c r="C2" s="23" t="s">
        <v>11</v>
      </c>
      <c r="D2" s="32" t="s">
        <v>19</v>
      </c>
      <c r="E2" s="12"/>
      <c r="G2" s="11"/>
      <c r="H2" s="3"/>
    </row>
    <row r="3" spans="1:8" s="1" customFormat="1" ht="19.149999999999999" customHeight="1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>
      <c r="A4" s="24" t="s">
        <v>15</v>
      </c>
      <c r="B4" s="7">
        <v>46082</v>
      </c>
      <c r="C4" s="23" t="s">
        <v>16</v>
      </c>
      <c r="D4" s="8">
        <v>46112</v>
      </c>
      <c r="G4" s="13"/>
      <c r="H4" s="3"/>
    </row>
    <row r="5" spans="1:8" s="1" customFormat="1" ht="19.149999999999999" customHeight="1">
      <c r="A5" s="23" t="s">
        <v>3</v>
      </c>
      <c r="B5" s="9">
        <v>263384.64</v>
      </c>
      <c r="C5" s="24" t="s">
        <v>4</v>
      </c>
      <c r="D5" s="9">
        <v>1636152.84</v>
      </c>
      <c r="E5" s="23" t="s">
        <v>17</v>
      </c>
      <c r="F5" s="14">
        <f>D5-B5</f>
        <v>1372768.2000000002</v>
      </c>
      <c r="G5" s="27">
        <f>F54-E54</f>
        <v>1372768.2</v>
      </c>
      <c r="H5" s="3"/>
    </row>
    <row r="6" spans="1:8" s="1" customFormat="1" ht="12.75" customHeight="1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>
      <c r="A7" s="46" t="s">
        <v>32</v>
      </c>
      <c r="B7" s="46" t="s">
        <v>32</v>
      </c>
      <c r="C7" s="46" t="s">
        <v>21</v>
      </c>
      <c r="D7" s="46" t="s">
        <v>36</v>
      </c>
      <c r="E7" s="46"/>
      <c r="F7" s="46">
        <v>200000</v>
      </c>
      <c r="G7" s="46">
        <v>463384.64</v>
      </c>
      <c r="H7" s="35"/>
    </row>
    <row r="8" spans="1:8" s="4" customFormat="1" ht="12" customHeight="1">
      <c r="A8" s="46" t="s">
        <v>32</v>
      </c>
      <c r="B8" s="46" t="s">
        <v>32</v>
      </c>
      <c r="C8" s="46" t="s">
        <v>21</v>
      </c>
      <c r="D8" s="46" t="s">
        <v>37</v>
      </c>
      <c r="E8" s="46">
        <v>35</v>
      </c>
      <c r="F8" s="46"/>
      <c r="G8" s="46">
        <v>463349.64</v>
      </c>
      <c r="H8" s="35"/>
    </row>
    <row r="9" spans="1:8" s="4" customFormat="1" ht="12" customHeight="1">
      <c r="A9" s="46" t="s">
        <v>32</v>
      </c>
      <c r="B9" s="46" t="s">
        <v>32</v>
      </c>
      <c r="C9" s="46" t="s">
        <v>22</v>
      </c>
      <c r="D9" s="46" t="s">
        <v>29</v>
      </c>
      <c r="E9" s="46">
        <v>171942</v>
      </c>
      <c r="F9" s="46"/>
      <c r="G9" s="46">
        <v>291407.64</v>
      </c>
      <c r="H9" s="37"/>
    </row>
    <row r="10" spans="1:8" s="4" customFormat="1" ht="12" customHeight="1">
      <c r="A10" s="46" t="s">
        <v>33</v>
      </c>
      <c r="B10" s="46" t="s">
        <v>33</v>
      </c>
      <c r="C10" s="46" t="s">
        <v>23</v>
      </c>
      <c r="D10" s="46" t="s">
        <v>27</v>
      </c>
      <c r="E10" s="46">
        <v>40219.800000000003</v>
      </c>
      <c r="F10" s="46"/>
      <c r="G10" s="46">
        <v>251187.84</v>
      </c>
      <c r="H10" s="38"/>
    </row>
    <row r="11" spans="1:8" s="4" customFormat="1" ht="12" customHeight="1">
      <c r="A11" s="46" t="s">
        <v>34</v>
      </c>
      <c r="B11" s="46" t="s">
        <v>34</v>
      </c>
      <c r="C11" s="46" t="s">
        <v>24</v>
      </c>
      <c r="D11" s="46" t="s">
        <v>28</v>
      </c>
      <c r="E11" s="46">
        <v>205000</v>
      </c>
      <c r="F11" s="46"/>
      <c r="G11" s="46">
        <v>46187.839999999997</v>
      </c>
    </row>
    <row r="12" spans="1:8" s="4" customFormat="1" ht="12" customHeight="1">
      <c r="A12" s="46" t="s">
        <v>34</v>
      </c>
      <c r="B12" s="46" t="s">
        <v>34</v>
      </c>
      <c r="C12" s="46" t="s">
        <v>25</v>
      </c>
      <c r="D12" s="46" t="s">
        <v>30</v>
      </c>
      <c r="E12" s="46"/>
      <c r="F12" s="46">
        <v>2000000</v>
      </c>
      <c r="G12" s="46">
        <v>2046187.84</v>
      </c>
      <c r="H12" s="36"/>
    </row>
    <row r="13" spans="1:8" s="4" customFormat="1" ht="12" customHeight="1">
      <c r="A13" s="46" t="s">
        <v>35</v>
      </c>
      <c r="B13" s="46" t="s">
        <v>35</v>
      </c>
      <c r="C13" s="46" t="s">
        <v>26</v>
      </c>
      <c r="D13" s="47" t="s">
        <v>38</v>
      </c>
      <c r="E13" s="46">
        <v>35</v>
      </c>
      <c r="F13" s="46"/>
      <c r="G13" s="46">
        <v>2046152.84</v>
      </c>
    </row>
    <row r="14" spans="1:8" s="4" customFormat="1" ht="12" customHeight="1">
      <c r="A14" s="46" t="s">
        <v>35</v>
      </c>
      <c r="B14" s="46" t="s">
        <v>35</v>
      </c>
      <c r="C14" s="46" t="s">
        <v>26</v>
      </c>
      <c r="D14" s="46" t="s">
        <v>31</v>
      </c>
      <c r="E14" s="46">
        <v>410000</v>
      </c>
      <c r="F14" s="46"/>
      <c r="G14" s="46">
        <v>1636152.84</v>
      </c>
    </row>
    <row r="15" spans="1:8" s="4" customFormat="1" ht="12" customHeight="1">
      <c r="A15" s="41"/>
      <c r="B15" s="41"/>
      <c r="C15" s="21"/>
      <c r="D15" s="42"/>
      <c r="E15" s="43"/>
      <c r="F15" s="44"/>
      <c r="G15" s="46">
        <v>1636152.84</v>
      </c>
    </row>
    <row r="16" spans="1:8" s="4" customFormat="1" ht="12" customHeight="1">
      <c r="A16" s="41"/>
      <c r="B16" s="41"/>
      <c r="C16" s="21"/>
      <c r="D16" s="42"/>
      <c r="E16" s="43"/>
      <c r="F16" s="44"/>
      <c r="G16" s="22"/>
    </row>
    <row r="17" spans="1:7" s="4" customFormat="1" ht="12" customHeight="1">
      <c r="A17" s="41"/>
      <c r="B17" s="41"/>
      <c r="C17" s="21"/>
      <c r="D17" s="42"/>
      <c r="E17" s="43"/>
      <c r="F17" s="44"/>
      <c r="G17" s="22"/>
    </row>
    <row r="18" spans="1:7" s="4" customFormat="1" ht="12" customHeight="1">
      <c r="A18" s="41"/>
      <c r="B18" s="41"/>
      <c r="C18" s="21"/>
      <c r="D18" s="42"/>
      <c r="E18" s="43"/>
      <c r="F18" s="44"/>
      <c r="G18" s="22"/>
    </row>
    <row r="19" spans="1:7" s="4" customFormat="1" ht="12" customHeight="1">
      <c r="A19" s="41"/>
      <c r="B19" s="41"/>
      <c r="C19" s="21"/>
      <c r="D19" s="42"/>
      <c r="E19" s="45"/>
      <c r="F19" s="44"/>
      <c r="G19" s="22"/>
    </row>
    <row r="20" spans="1:7" s="4" customFormat="1" ht="12" customHeight="1">
      <c r="A20" s="41"/>
      <c r="B20" s="41"/>
      <c r="C20" s="21"/>
      <c r="D20" s="42"/>
      <c r="E20" s="43"/>
      <c r="F20" s="44"/>
      <c r="G20" s="22"/>
    </row>
    <row r="21" spans="1:7" s="4" customFormat="1" ht="12" customHeight="1">
      <c r="A21" s="41"/>
      <c r="B21" s="41"/>
      <c r="C21" s="21"/>
      <c r="D21" s="42"/>
      <c r="E21" s="43"/>
      <c r="F21" s="44"/>
      <c r="G21" s="22"/>
    </row>
    <row r="22" spans="1:7" s="4" customFormat="1" ht="12" customHeight="1">
      <c r="A22" s="41"/>
      <c r="B22" s="41"/>
      <c r="C22" s="21"/>
      <c r="D22" s="42"/>
      <c r="E22" s="45"/>
      <c r="F22" s="44"/>
      <c r="G22" s="22"/>
    </row>
    <row r="23" spans="1:7" s="4" customFormat="1" ht="12" customHeight="1">
      <c r="A23" s="20"/>
      <c r="B23" s="20"/>
      <c r="C23" s="21"/>
      <c r="D23" s="21"/>
      <c r="E23" s="31"/>
      <c r="F23" s="22"/>
      <c r="G23" s="22"/>
    </row>
    <row r="24" spans="1:7" s="4" customFormat="1" ht="12" customHeight="1">
      <c r="A24" s="20"/>
      <c r="B24" s="20"/>
      <c r="C24" s="21"/>
      <c r="D24" s="21"/>
      <c r="E24" s="31"/>
      <c r="F24" s="22"/>
      <c r="G24" s="22"/>
    </row>
    <row r="25" spans="1:7" s="4" customFormat="1" ht="12" customHeight="1">
      <c r="A25" s="20"/>
      <c r="B25" s="20"/>
      <c r="C25" s="21"/>
      <c r="D25" s="21"/>
      <c r="E25" s="31"/>
      <c r="F25" s="22"/>
      <c r="G25" s="22"/>
    </row>
    <row r="26" spans="1:7" s="4" customFormat="1" ht="12" customHeight="1">
      <c r="A26" s="20"/>
      <c r="B26" s="20"/>
      <c r="C26" s="21"/>
      <c r="D26" s="21"/>
      <c r="E26" s="31"/>
      <c r="F26" s="22"/>
      <c r="G26" s="22"/>
    </row>
    <row r="27" spans="1:7" s="4" customFormat="1" ht="12" customHeight="1">
      <c r="A27" s="20"/>
      <c r="B27" s="20"/>
      <c r="C27" s="21"/>
      <c r="D27" s="21"/>
      <c r="E27" s="31"/>
      <c r="F27" s="22"/>
      <c r="G27" s="22"/>
    </row>
    <row r="28" spans="1:7" s="4" customFormat="1" ht="12" customHeight="1">
      <c r="A28" s="20"/>
      <c r="B28" s="20"/>
      <c r="C28" s="21"/>
      <c r="D28" s="21"/>
      <c r="E28" s="31"/>
      <c r="F28" s="22"/>
      <c r="G28" s="22"/>
    </row>
    <row r="29" spans="1:7" s="4" customFormat="1" ht="12" customHeight="1">
      <c r="A29" s="20"/>
      <c r="B29" s="20"/>
      <c r="C29" s="21"/>
      <c r="D29" s="21"/>
      <c r="E29" s="31"/>
      <c r="F29" s="22"/>
      <c r="G29" s="22"/>
    </row>
    <row r="30" spans="1:7" s="4" customFormat="1" ht="12" customHeight="1">
      <c r="A30" s="20"/>
      <c r="B30" s="20"/>
      <c r="C30" s="21"/>
      <c r="D30" s="21"/>
      <c r="E30" s="31"/>
      <c r="F30" s="22"/>
      <c r="G30" s="22"/>
    </row>
    <row r="31" spans="1:7" s="4" customFormat="1" ht="12" customHeight="1">
      <c r="A31" s="20"/>
      <c r="B31" s="20"/>
      <c r="C31" s="21"/>
      <c r="D31" s="21"/>
      <c r="E31" s="31"/>
      <c r="F31" s="22"/>
      <c r="G31" s="22"/>
    </row>
    <row r="32" spans="1:7" s="4" customFormat="1" ht="12" customHeight="1">
      <c r="A32" s="20"/>
      <c r="B32" s="20"/>
      <c r="C32" s="21"/>
      <c r="D32" s="21"/>
      <c r="E32" s="31"/>
      <c r="F32" s="22"/>
      <c r="G32" s="22"/>
    </row>
    <row r="33" spans="1:8" s="4" customFormat="1" ht="12" customHeight="1">
      <c r="A33" s="20"/>
      <c r="B33" s="20"/>
      <c r="C33" s="21"/>
      <c r="D33" s="21"/>
      <c r="E33" s="31"/>
      <c r="F33" s="22"/>
      <c r="G33" s="22"/>
    </row>
    <row r="34" spans="1:8" s="4" customFormat="1" ht="12" customHeight="1">
      <c r="A34" s="20"/>
      <c r="B34" s="20"/>
      <c r="C34" s="21"/>
      <c r="D34" s="21"/>
      <c r="E34" s="31"/>
      <c r="F34" s="22"/>
      <c r="G34" s="39"/>
      <c r="H34" s="40"/>
    </row>
    <row r="35" spans="1:8" s="4" customFormat="1" ht="12" customHeight="1">
      <c r="A35" s="20"/>
      <c r="B35" s="20"/>
      <c r="C35" s="21"/>
      <c r="D35" s="21"/>
      <c r="E35" s="31"/>
      <c r="F35" s="22"/>
      <c r="G35" s="22"/>
    </row>
    <row r="36" spans="1:8" s="4" customFormat="1" ht="12" customHeight="1">
      <c r="A36" s="20"/>
      <c r="B36" s="20"/>
      <c r="C36" s="21"/>
      <c r="D36" s="21"/>
      <c r="E36" s="31"/>
      <c r="F36" s="22"/>
      <c r="G36" s="22"/>
    </row>
    <row r="37" spans="1:8" s="4" customFormat="1" ht="12" customHeight="1">
      <c r="A37" s="20"/>
      <c r="B37" s="20"/>
      <c r="C37" s="21"/>
      <c r="D37" s="21"/>
      <c r="E37" s="31"/>
      <c r="F37" s="22"/>
      <c r="G37" s="22"/>
    </row>
    <row r="38" spans="1:8" s="4" customFormat="1" ht="12" customHeight="1">
      <c r="A38" s="20"/>
      <c r="B38" s="20"/>
      <c r="C38" s="21"/>
      <c r="D38" s="21"/>
      <c r="E38" s="31"/>
      <c r="F38" s="22"/>
      <c r="G38" s="22"/>
    </row>
    <row r="39" spans="1:8" s="4" customFormat="1" ht="12" customHeight="1">
      <c r="A39" s="20"/>
      <c r="B39" s="20"/>
      <c r="C39" s="21"/>
      <c r="D39" s="21"/>
      <c r="E39" s="31"/>
      <c r="F39" s="22"/>
      <c r="G39" s="22"/>
    </row>
    <row r="40" spans="1:8" s="4" customFormat="1" ht="12" customHeight="1">
      <c r="A40" s="20"/>
      <c r="B40" s="20"/>
      <c r="C40" s="21"/>
      <c r="D40" s="21"/>
      <c r="E40" s="31"/>
      <c r="F40" s="22"/>
      <c r="G40" s="22"/>
    </row>
    <row r="41" spans="1:8" s="4" customFormat="1" ht="12" customHeight="1">
      <c r="A41" s="20"/>
      <c r="B41" s="20"/>
      <c r="C41" s="21"/>
      <c r="D41" s="34"/>
      <c r="E41" s="31"/>
      <c r="F41" s="22"/>
      <c r="G41" s="22"/>
    </row>
    <row r="42" spans="1:8" s="4" customFormat="1" ht="12" customHeight="1">
      <c r="A42" s="20"/>
      <c r="B42" s="20"/>
      <c r="C42" s="21"/>
      <c r="D42" s="34"/>
      <c r="E42" s="31"/>
      <c r="F42" s="22"/>
      <c r="G42" s="22"/>
    </row>
    <row r="43" spans="1:8" s="4" customFormat="1" ht="12" customHeight="1">
      <c r="A43" s="20"/>
      <c r="B43" s="20"/>
      <c r="C43" s="21"/>
      <c r="D43" s="21"/>
      <c r="E43" s="31"/>
      <c r="F43" s="22"/>
      <c r="G43" s="22"/>
    </row>
    <row r="44" spans="1:8" s="4" customFormat="1" ht="12" customHeight="1">
      <c r="A44" s="20"/>
      <c r="B44" s="20"/>
      <c r="C44" s="21"/>
      <c r="D44" s="21"/>
      <c r="E44" s="31"/>
      <c r="F44" s="22"/>
      <c r="G44" s="22"/>
    </row>
    <row r="45" spans="1:8" s="4" customFormat="1" ht="12" customHeight="1">
      <c r="A45" s="20"/>
      <c r="B45" s="20"/>
      <c r="C45" s="21"/>
      <c r="D45" s="21"/>
      <c r="E45" s="31"/>
      <c r="F45" s="22"/>
    </row>
    <row r="46" spans="1:8" s="4" customFormat="1" ht="12" customHeight="1">
      <c r="A46" s="20"/>
      <c r="B46" s="20"/>
      <c r="C46" s="21"/>
      <c r="D46" s="21"/>
      <c r="E46" s="31"/>
      <c r="F46" s="22"/>
      <c r="G46" s="22"/>
    </row>
    <row r="47" spans="1:8" s="4" customFormat="1" ht="12" customHeight="1">
      <c r="A47" s="20"/>
      <c r="B47" s="20"/>
      <c r="C47" s="21"/>
      <c r="D47" s="21"/>
      <c r="E47" s="31"/>
      <c r="F47" s="22"/>
      <c r="G47" s="22"/>
    </row>
    <row r="48" spans="1:8" s="4" customFormat="1" ht="12" customHeight="1">
      <c r="A48" s="20"/>
      <c r="B48" s="20"/>
      <c r="C48" s="21"/>
      <c r="D48" s="21"/>
      <c r="E48" s="31"/>
      <c r="F48" s="22"/>
      <c r="G48" s="22"/>
    </row>
    <row r="49" spans="1:7" s="4" customFormat="1" ht="12" customHeight="1">
      <c r="A49" s="20"/>
      <c r="B49" s="20"/>
      <c r="C49" s="21"/>
      <c r="D49" s="21"/>
      <c r="E49" s="31"/>
      <c r="F49" s="22"/>
      <c r="G49" s="22"/>
    </row>
    <row r="50" spans="1:7" s="4" customFormat="1" ht="12" customHeight="1">
      <c r="A50" s="20"/>
      <c r="B50" s="20"/>
      <c r="C50" s="21"/>
      <c r="D50" s="21"/>
      <c r="E50" s="31"/>
      <c r="F50" s="22"/>
      <c r="G50" s="22"/>
    </row>
    <row r="51" spans="1:7" s="4" customFormat="1" ht="12" customHeight="1">
      <c r="A51" s="20"/>
      <c r="B51" s="20"/>
      <c r="C51" s="21"/>
      <c r="D51" s="21"/>
      <c r="E51" s="31"/>
      <c r="F51" s="22"/>
      <c r="G51" s="22"/>
    </row>
    <row r="52" spans="1:7" s="4" customFormat="1" ht="12" customHeight="1">
      <c r="A52" s="20"/>
      <c r="B52" s="20"/>
      <c r="C52" s="21"/>
      <c r="D52" s="21"/>
      <c r="E52" s="22"/>
      <c r="F52" s="22"/>
      <c r="G52" s="22"/>
    </row>
    <row r="53" spans="1:7" s="4" customFormat="1" ht="12" customHeight="1">
      <c r="A53" s="20"/>
      <c r="B53" s="20"/>
      <c r="C53" s="21"/>
      <c r="D53" s="21"/>
      <c r="E53" s="22"/>
      <c r="F53" s="22"/>
      <c r="G53" s="22"/>
    </row>
    <row r="54" spans="1:7" s="1" customFormat="1" ht="18.600000000000001" customHeight="1">
      <c r="A54" s="28"/>
      <c r="B54" s="28"/>
      <c r="C54" s="29"/>
      <c r="D54" s="29" t="s">
        <v>14</v>
      </c>
      <c r="E54" s="30">
        <f>SUM(E7:E53)</f>
        <v>827231.8</v>
      </c>
      <c r="F54" s="30">
        <f>SUM(F7:F53)</f>
        <v>2200000</v>
      </c>
      <c r="G54" s="30"/>
    </row>
    <row r="55" spans="1:7" s="1" customFormat="1" ht="59.65" customHeight="1"/>
  </sheetData>
  <sheetProtection password="FC07" sheet="1" objects="1" scenarios="1" insertRows="0" deleteRows="0" selectLockedCells="1" autoFilter="0"/>
  <phoneticPr fontId="7" type="noConversion"/>
  <conditionalFormatting sqref="E7:G53">
    <cfRule type="expression" dxfId="2" priority="2">
      <formula>TYPE(E7)&lt;&gt;1</formula>
    </cfRule>
  </conditionalFormatting>
  <conditionalFormatting sqref="F5">
    <cfRule type="expression" dxfId="1" priority="3">
      <formula>($F5-$G$5 )&lt;&gt;0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aaa</cp:lastModifiedBy>
  <dcterms:created xsi:type="dcterms:W3CDTF">2025-09-30T12:46:03Z</dcterms:created>
  <dcterms:modified xsi:type="dcterms:W3CDTF">2026-04-17T10:53:30Z</dcterms:modified>
</cp:coreProperties>
</file>