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6"/>
  </bookViews>
  <sheets>
    <sheet name="DRI" sheetId="1" r:id="rId1"/>
    <sheet name="ADEL BAGROU" sheetId="2" r:id="rId2"/>
    <sheet name="SIVANE" sheetId="3" r:id="rId3"/>
    <sheet name="EL MASGOULE" sheetId="4" r:id="rId4"/>
    <sheet name="Approvisionnements" sheetId="5" r:id="rId5"/>
    <sheet name="Titre de Recettes" sheetId="6" r:id="rId6"/>
    <sheet name="Charge Bancaire" sheetId="7" r:id="rId7"/>
  </sheets>
  <calcPr calcId="144525"/>
</workbook>
</file>

<file path=xl/calcChain.xml><?xml version="1.0" encoding="utf-8"?>
<calcChain xmlns="http://schemas.openxmlformats.org/spreadsheetml/2006/main">
  <c r="E25" i="7" l="1"/>
  <c r="E31" i="7" l="1"/>
  <c r="D25" i="7" l="1"/>
  <c r="G29" i="1" l="1"/>
  <c r="H29" i="1"/>
  <c r="I29" i="1"/>
  <c r="J29" i="1"/>
  <c r="K29" i="1"/>
  <c r="L29" i="1"/>
  <c r="H22" i="3" l="1"/>
  <c r="I22" i="3"/>
  <c r="J22" i="3"/>
  <c r="K22" i="3"/>
  <c r="L22" i="3"/>
  <c r="G22" i="3"/>
  <c r="H23" i="4"/>
  <c r="I23" i="4"/>
  <c r="J23" i="4"/>
  <c r="K23" i="4"/>
  <c r="L23" i="4"/>
  <c r="G23" i="4"/>
  <c r="K37" i="2" l="1"/>
  <c r="J37" i="2"/>
  <c r="L37" i="2"/>
</calcChain>
</file>

<file path=xl/sharedStrings.xml><?xml version="1.0" encoding="utf-8"?>
<sst xmlns="http://schemas.openxmlformats.org/spreadsheetml/2006/main" count="230" uniqueCount="94">
  <si>
    <t>N° DRI</t>
  </si>
  <si>
    <t>Objet</t>
  </si>
  <si>
    <t>Mode Reglement</t>
  </si>
  <si>
    <t>Montant TTC</t>
  </si>
  <si>
    <t>MHT</t>
  </si>
  <si>
    <t>TVA</t>
  </si>
  <si>
    <t>IMF</t>
  </si>
  <si>
    <t>Net à Payer</t>
  </si>
  <si>
    <t>N° Notif</t>
  </si>
  <si>
    <t>TOTAL</t>
  </si>
  <si>
    <t>Piéces</t>
  </si>
  <si>
    <t>N° M</t>
  </si>
  <si>
    <t>Béneficiare</t>
  </si>
  <si>
    <t>Imputation</t>
  </si>
  <si>
    <t>MTTC</t>
  </si>
  <si>
    <t>CNSS</t>
  </si>
  <si>
    <t>CNAM</t>
  </si>
  <si>
    <t>Net a Payer</t>
  </si>
  <si>
    <t>piéces</t>
  </si>
  <si>
    <t>Béneficaire</t>
  </si>
  <si>
    <t>Total</t>
  </si>
  <si>
    <t>DATE</t>
  </si>
  <si>
    <t>MONTANT</t>
  </si>
  <si>
    <t>DATE QUITTANCE</t>
  </si>
  <si>
    <t>N° QUITTANCE</t>
  </si>
  <si>
    <t>PIECES</t>
  </si>
  <si>
    <t>Qtt</t>
  </si>
  <si>
    <t>Le Maire</t>
  </si>
  <si>
    <t>Autres primes</t>
  </si>
  <si>
    <t>Indmnités de representation</t>
  </si>
  <si>
    <t>Indmnités compensatrices du logement</t>
  </si>
  <si>
    <t>Percepteur</t>
  </si>
  <si>
    <t>Indmnités de gestion du comptable</t>
  </si>
  <si>
    <t>Indemnités de fonction</t>
  </si>
  <si>
    <t>Subvention d'equipent versées</t>
  </si>
  <si>
    <t>ETS EMEL</t>
  </si>
  <si>
    <t>VRT N°02/2024 le 14/02/24</t>
  </si>
  <si>
    <t>ETS M'Zeimid</t>
  </si>
  <si>
    <t>VRT N°01/2024 le 14/02/24</t>
  </si>
  <si>
    <t>Personnel Temporaire</t>
  </si>
  <si>
    <t>Indmnités de sessions</t>
  </si>
  <si>
    <t>CM</t>
  </si>
  <si>
    <t>VRT N°03/2024 le 14/02/24</t>
  </si>
  <si>
    <t>Carburants et Iubrifiants</t>
  </si>
  <si>
    <t>Assianissement</t>
  </si>
  <si>
    <t>CHB N°2005073002 le16/04</t>
  </si>
  <si>
    <t>Le Deux maire Adjoint</t>
  </si>
  <si>
    <t>VRT N°05/2024 Le 08/04</t>
  </si>
  <si>
    <t>CHB N°2005073002 le01/04</t>
  </si>
  <si>
    <t>Cheikh med lemine</t>
  </si>
  <si>
    <t>CHB N°2005073004 le15/04</t>
  </si>
  <si>
    <t>Neny mahfoudh oumar</t>
  </si>
  <si>
    <t>VRT N°05/2024 et CHB20073004</t>
  </si>
  <si>
    <t>Primes de rendement</t>
  </si>
  <si>
    <t>RM</t>
  </si>
  <si>
    <t>Personnel Permanent</t>
  </si>
  <si>
    <t>Part patronale sécurité sociale</t>
  </si>
  <si>
    <t>Part patronale assurance maladie</t>
  </si>
  <si>
    <t>Indmnités de fonction</t>
  </si>
  <si>
    <t>Le maire</t>
  </si>
  <si>
    <t>VRT 07/2024 Le 17/04</t>
  </si>
  <si>
    <t>Med chemsse din</t>
  </si>
  <si>
    <t xml:space="preserve">Neny mahfoudh </t>
  </si>
  <si>
    <t>SG</t>
  </si>
  <si>
    <t>CHB 200573007 Le 17/04</t>
  </si>
  <si>
    <t>VRT 06/2024  Le 08/04</t>
  </si>
  <si>
    <t>Seyed yemehlou</t>
  </si>
  <si>
    <t>Neny mahfoudh</t>
  </si>
  <si>
    <t>Espece CHB N°2005073006 Le16/04</t>
  </si>
  <si>
    <t>2024T00224000010</t>
  </si>
  <si>
    <t>4 50 000</t>
  </si>
  <si>
    <t>2024T00224000019</t>
  </si>
  <si>
    <t>2024T00224000002</t>
  </si>
  <si>
    <t>COMMUNE EL MASGOULE LE O1/01/2024 AU ……</t>
  </si>
  <si>
    <t>COMMUNE EL SIVANE O1/01/2024 AU ……</t>
  </si>
  <si>
    <t>ADEL BAGROU LE 01/01/2024 AU …….</t>
  </si>
  <si>
    <t>Espece CHB 4760848</t>
  </si>
  <si>
    <t>Espece CHB 4760849</t>
  </si>
  <si>
    <t>Espece CHB 4760839</t>
  </si>
  <si>
    <t>Espece CHB 4760850</t>
  </si>
  <si>
    <t>Frais de mission</t>
  </si>
  <si>
    <t>SITUATION DU SUIVI DES DEPANSES NOTIFIES EN DRI DU 01/01/2024 AU ….</t>
  </si>
  <si>
    <t>OV N°04/2024 Le 25/03</t>
  </si>
  <si>
    <t>Fonds spéciaux</t>
  </si>
  <si>
    <t>CHB 2005073008 Le 14/05</t>
  </si>
  <si>
    <t>Rémuneration d'intermédaires et honoraires (Autorités)</t>
  </si>
  <si>
    <t>Rémuneration d'intermédaires et honoraires CS</t>
  </si>
  <si>
    <t>2024T00224000020</t>
  </si>
  <si>
    <t>AU 31/12/2023</t>
  </si>
  <si>
    <t>TOTAL RECETTES</t>
  </si>
  <si>
    <t>APP 4070000</t>
  </si>
  <si>
    <t>+</t>
  </si>
  <si>
    <t>Banque CCP</t>
  </si>
  <si>
    <t>Banque 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</si>
</sst>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 tint="0.14999847407452621"/>
      <name val="Calibri"/>
      <family val="2"/>
      <scheme val="minor"/>
    </font>
    <font>
      <b/>
      <sz val="14"/>
      <color theme="2" tint="-0.8999908444471571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3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3" fontId="0" fillId="0" borderId="0" xfId="0" applyNumberFormat="1"/>
    <xf numFmtId="3" fontId="7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/>
    <xf numFmtId="0" fontId="1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5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12" fillId="0" borderId="1" xfId="0" applyNumberFormat="1" applyFont="1" applyBorder="1"/>
    <xf numFmtId="0" fontId="11" fillId="0" borderId="1" xfId="0" applyFont="1" applyBorder="1"/>
    <xf numFmtId="0" fontId="7" fillId="0" borderId="1" xfId="0" applyFont="1" applyBorder="1"/>
    <xf numFmtId="0" fontId="1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  <pageSetUpPr fitToPage="1"/>
  </sheetPr>
  <dimension ref="D4:O32"/>
  <sheetViews>
    <sheetView topLeftCell="D2" zoomScale="85" zoomScaleNormal="85" workbookViewId="0">
      <selection activeCell="I13" sqref="I13"/>
    </sheetView>
  </sheetViews>
  <sheetFormatPr baseColWidth="10" defaultColWidth="9.140625" defaultRowHeight="15" x14ac:dyDescent="0.25"/>
  <cols>
    <col min="4" max="4" width="13" customWidth="1"/>
    <col min="5" max="5" width="13.140625" customWidth="1"/>
    <col min="6" max="6" width="54.85546875" customWidth="1"/>
    <col min="7" max="7" width="32.140625" customWidth="1"/>
    <col min="8" max="8" width="16.5703125" customWidth="1"/>
    <col min="9" max="9" width="13" customWidth="1"/>
    <col min="10" max="10" width="11.42578125" customWidth="1"/>
    <col min="11" max="11" width="12.28515625" customWidth="1"/>
    <col min="12" max="12" width="18.5703125" customWidth="1"/>
    <col min="13" max="13" width="17.5703125" customWidth="1"/>
  </cols>
  <sheetData>
    <row r="4" spans="4:15" x14ac:dyDescent="0.25">
      <c r="D4" s="3"/>
      <c r="E4" s="3"/>
      <c r="F4" s="3"/>
      <c r="G4" s="3"/>
      <c r="H4" s="3" t="s">
        <v>81</v>
      </c>
      <c r="I4" s="3"/>
      <c r="J4" s="3"/>
      <c r="K4" s="3"/>
      <c r="L4" s="3"/>
      <c r="M4" s="3"/>
    </row>
    <row r="6" spans="4:15" ht="29.25" customHeight="1" x14ac:dyDescent="0.25">
      <c r="D6" s="18" t="s">
        <v>8</v>
      </c>
      <c r="E6" s="18" t="s">
        <v>0</v>
      </c>
      <c r="F6" s="18" t="s">
        <v>1</v>
      </c>
      <c r="G6" s="18" t="s">
        <v>2</v>
      </c>
      <c r="H6" s="18" t="s">
        <v>3</v>
      </c>
      <c r="I6" s="18" t="s">
        <v>4</v>
      </c>
      <c r="J6" s="18" t="s">
        <v>5</v>
      </c>
      <c r="K6" s="18" t="s">
        <v>6</v>
      </c>
      <c r="L6" s="18" t="s">
        <v>7</v>
      </c>
      <c r="M6" s="18" t="s">
        <v>10</v>
      </c>
    </row>
    <row r="7" spans="4:15" ht="27" customHeight="1" x14ac:dyDescent="0.25">
      <c r="D7" s="23">
        <v>11</v>
      </c>
      <c r="E7" s="23">
        <v>3006</v>
      </c>
      <c r="F7" s="23" t="s">
        <v>80</v>
      </c>
      <c r="G7" s="23" t="s">
        <v>82</v>
      </c>
      <c r="H7" s="23">
        <v>99000</v>
      </c>
      <c r="I7" s="23"/>
      <c r="J7" s="23"/>
      <c r="K7" s="23"/>
      <c r="L7" s="23">
        <v>99000</v>
      </c>
      <c r="M7" s="30"/>
      <c r="O7" s="2"/>
    </row>
    <row r="8" spans="4:15" ht="27" customHeight="1" x14ac:dyDescent="0.25">
      <c r="D8" s="23">
        <v>11</v>
      </c>
      <c r="E8" s="23">
        <v>3005</v>
      </c>
      <c r="F8" s="23" t="s">
        <v>86</v>
      </c>
      <c r="G8" s="23" t="s">
        <v>82</v>
      </c>
      <c r="H8" s="23">
        <v>82800</v>
      </c>
      <c r="I8" s="23"/>
      <c r="J8" s="23"/>
      <c r="K8" s="23"/>
      <c r="L8" s="23">
        <v>82800</v>
      </c>
      <c r="M8" s="30"/>
    </row>
    <row r="9" spans="4:15" ht="30" customHeight="1" x14ac:dyDescent="0.25">
      <c r="D9" s="23">
        <v>1472</v>
      </c>
      <c r="E9" s="23">
        <v>6856</v>
      </c>
      <c r="F9" s="23" t="s">
        <v>83</v>
      </c>
      <c r="G9" s="23" t="s">
        <v>84</v>
      </c>
      <c r="H9" s="23">
        <v>138696</v>
      </c>
      <c r="I9" s="23"/>
      <c r="J9" s="23"/>
      <c r="K9" s="23"/>
      <c r="L9" s="23">
        <v>138696</v>
      </c>
      <c r="M9" s="30"/>
    </row>
    <row r="10" spans="4:15" ht="34.5" customHeight="1" x14ac:dyDescent="0.25">
      <c r="D10" s="23">
        <v>1371</v>
      </c>
      <c r="E10" s="23">
        <v>6855</v>
      </c>
      <c r="F10" s="23" t="s">
        <v>85</v>
      </c>
      <c r="G10" s="23" t="s">
        <v>84</v>
      </c>
      <c r="H10" s="23">
        <v>113760</v>
      </c>
      <c r="I10" s="23"/>
      <c r="J10" s="23"/>
      <c r="K10" s="23"/>
      <c r="L10" s="23">
        <v>113760</v>
      </c>
      <c r="M10" s="30"/>
    </row>
    <row r="11" spans="4:15" ht="35.25" customHeight="1" x14ac:dyDescent="0.25">
      <c r="D11" s="12"/>
      <c r="E11" s="12"/>
      <c r="F11" s="10"/>
      <c r="G11" s="11"/>
      <c r="H11" s="12"/>
      <c r="I11" s="12"/>
      <c r="J11" s="12"/>
      <c r="K11" s="12"/>
      <c r="L11" s="12"/>
      <c r="M11" s="4"/>
    </row>
    <row r="12" spans="4:15" ht="31.5" customHeight="1" x14ac:dyDescent="0.25">
      <c r="D12" s="12"/>
      <c r="E12" s="12"/>
      <c r="F12" s="10"/>
      <c r="G12" s="11"/>
      <c r="H12" s="12"/>
      <c r="I12" s="12"/>
      <c r="J12" s="12"/>
      <c r="K12" s="12"/>
      <c r="L12" s="12"/>
      <c r="M12" s="4"/>
    </row>
    <row r="13" spans="4:15" ht="31.5" customHeight="1" x14ac:dyDescent="0.25">
      <c r="D13" s="12"/>
      <c r="E13" s="12"/>
      <c r="F13" s="10"/>
      <c r="G13" s="11"/>
      <c r="H13" s="12"/>
      <c r="I13" s="12"/>
      <c r="J13" s="12"/>
      <c r="K13" s="12"/>
      <c r="L13" s="12"/>
      <c r="M13" s="4"/>
    </row>
    <row r="14" spans="4:15" ht="31.5" customHeight="1" x14ac:dyDescent="0.25">
      <c r="D14" s="12"/>
      <c r="E14" s="12"/>
      <c r="F14" s="10"/>
      <c r="G14" s="11"/>
      <c r="H14" s="12"/>
      <c r="I14" s="12"/>
      <c r="J14" s="12"/>
      <c r="K14" s="12"/>
      <c r="L14" s="12"/>
      <c r="M14" s="4"/>
    </row>
    <row r="15" spans="4:15" ht="30" customHeight="1" x14ac:dyDescent="0.25">
      <c r="D15" s="12"/>
      <c r="E15" s="12"/>
      <c r="F15" s="10"/>
      <c r="G15" s="11"/>
      <c r="H15" s="12"/>
      <c r="I15" s="12"/>
      <c r="J15" s="12"/>
      <c r="K15" s="12"/>
      <c r="L15" s="12"/>
      <c r="M15" s="4"/>
    </row>
    <row r="16" spans="4:15" ht="22.5" customHeight="1" x14ac:dyDescent="0.25">
      <c r="D16" s="4"/>
      <c r="E16" s="4"/>
      <c r="F16" s="5"/>
      <c r="G16" s="7"/>
      <c r="H16" s="4"/>
      <c r="I16" s="4"/>
      <c r="J16" s="4"/>
      <c r="K16" s="4"/>
      <c r="L16" s="4"/>
      <c r="M16" s="4"/>
    </row>
    <row r="17" spans="4:13" ht="29.25" customHeight="1" x14ac:dyDescent="0.25">
      <c r="D17" s="4"/>
      <c r="E17" s="4"/>
      <c r="F17" s="5"/>
      <c r="G17" s="7"/>
      <c r="H17" s="4"/>
      <c r="I17" s="4"/>
      <c r="J17" s="4"/>
      <c r="K17" s="4"/>
      <c r="L17" s="4"/>
      <c r="M17" s="4"/>
    </row>
    <row r="18" spans="4:13" ht="30.75" customHeight="1" x14ac:dyDescent="0.25">
      <c r="D18" s="4"/>
      <c r="E18" s="4"/>
      <c r="F18" s="5"/>
      <c r="G18" s="7"/>
      <c r="H18" s="4"/>
      <c r="I18" s="4"/>
      <c r="J18" s="4"/>
      <c r="K18" s="4"/>
      <c r="L18" s="4"/>
      <c r="M18" s="4"/>
    </row>
    <row r="19" spans="4:13" ht="30" customHeight="1" x14ac:dyDescent="0.25">
      <c r="D19" s="4"/>
      <c r="E19" s="4"/>
      <c r="F19" s="5"/>
      <c r="G19" s="7"/>
      <c r="H19" s="4"/>
      <c r="I19" s="4"/>
      <c r="J19" s="4"/>
      <c r="K19" s="4"/>
      <c r="L19" s="4"/>
      <c r="M19" s="4"/>
    </row>
    <row r="20" spans="4:13" ht="30.75" customHeight="1" x14ac:dyDescent="0.25">
      <c r="D20" s="4"/>
      <c r="E20" s="4"/>
      <c r="F20" s="5"/>
      <c r="G20" s="7"/>
      <c r="H20" s="4"/>
      <c r="I20" s="4"/>
      <c r="J20" s="4"/>
      <c r="K20" s="4"/>
      <c r="L20" s="4"/>
      <c r="M20" s="4"/>
    </row>
    <row r="21" spans="4:13" ht="31.5" customHeight="1" x14ac:dyDescent="0.25">
      <c r="D21" s="4"/>
      <c r="E21" s="4"/>
      <c r="F21" s="5"/>
      <c r="G21" s="7"/>
      <c r="H21" s="4"/>
      <c r="I21" s="4"/>
      <c r="J21" s="4"/>
      <c r="K21" s="4"/>
      <c r="L21" s="4"/>
      <c r="M21" s="4"/>
    </row>
    <row r="22" spans="4:13" ht="30.75" customHeight="1" x14ac:dyDescent="0.25">
      <c r="D22" s="4"/>
      <c r="E22" s="4"/>
      <c r="F22" s="5"/>
      <c r="G22" s="7"/>
      <c r="H22" s="4"/>
      <c r="I22" s="4"/>
      <c r="J22" s="4"/>
      <c r="K22" s="4"/>
      <c r="L22" s="4"/>
      <c r="M22" s="4"/>
    </row>
    <row r="23" spans="4:13" ht="30" customHeight="1" x14ac:dyDescent="0.25">
      <c r="D23" s="4"/>
      <c r="E23" s="4"/>
      <c r="F23" s="5"/>
      <c r="G23" s="7"/>
      <c r="H23" s="4"/>
      <c r="I23" s="4"/>
      <c r="J23" s="4"/>
      <c r="K23" s="4"/>
      <c r="L23" s="4"/>
      <c r="M23" s="4"/>
    </row>
    <row r="24" spans="4:13" ht="30.75" customHeight="1" x14ac:dyDescent="0.25">
      <c r="D24" s="4"/>
      <c r="E24" s="4"/>
      <c r="F24" s="5"/>
      <c r="G24" s="8"/>
      <c r="H24" s="4"/>
      <c r="I24" s="4"/>
      <c r="J24" s="4"/>
      <c r="K24" s="4"/>
      <c r="L24" s="4"/>
      <c r="M24" s="4"/>
    </row>
    <row r="25" spans="4:13" ht="31.5" customHeight="1" x14ac:dyDescent="0.25">
      <c r="D25" s="4"/>
      <c r="E25" s="4"/>
      <c r="F25" s="5"/>
      <c r="G25" s="8"/>
      <c r="H25" s="4"/>
      <c r="I25" s="4"/>
      <c r="J25" s="4"/>
      <c r="K25" s="4"/>
      <c r="L25" s="4"/>
      <c r="M25" s="4"/>
    </row>
    <row r="26" spans="4:13" ht="30" customHeight="1" x14ac:dyDescent="0.25">
      <c r="D26" s="4"/>
      <c r="E26" s="4"/>
      <c r="F26" s="5"/>
      <c r="G26" s="8"/>
      <c r="H26" s="4"/>
      <c r="I26" s="4"/>
      <c r="J26" s="4"/>
      <c r="K26" s="4"/>
      <c r="L26" s="4"/>
      <c r="M26" s="4"/>
    </row>
    <row r="27" spans="4:13" ht="29.25" customHeight="1" x14ac:dyDescent="0.25">
      <c r="D27" s="4"/>
      <c r="E27" s="4"/>
      <c r="F27" s="5"/>
      <c r="G27" s="8"/>
      <c r="H27" s="4"/>
      <c r="I27" s="4"/>
      <c r="J27" s="4"/>
      <c r="K27" s="4"/>
      <c r="L27" s="4"/>
      <c r="M27" s="4"/>
    </row>
    <row r="28" spans="4:13" ht="30.75" customHeight="1" x14ac:dyDescent="0.25">
      <c r="D28" s="1"/>
      <c r="E28" s="4"/>
      <c r="F28" s="5"/>
      <c r="G28" s="8"/>
      <c r="H28" s="4"/>
      <c r="I28" s="4"/>
      <c r="J28" s="4"/>
      <c r="K28" s="4"/>
      <c r="L28" s="4"/>
      <c r="M28" s="4"/>
    </row>
    <row r="29" spans="4:13" ht="30.75" customHeight="1" x14ac:dyDescent="0.25">
      <c r="D29" s="4" t="s">
        <v>9</v>
      </c>
      <c r="E29" s="4"/>
      <c r="F29" s="5"/>
      <c r="G29" s="4" t="e">
        <f>G7+G8+G9+G10+G11+G12+G13+G14+G15+G16+G17+G18+G19+G20+G21+G22+G23+G24+G25+G26+G27+G28</f>
        <v>#VALUE!</v>
      </c>
      <c r="H29" s="4">
        <f t="shared" ref="H29:K29" si="0">H7+H8+H9+H10+H11+H12+H13+H14+H15+H16+H17+H18+H19+H20+H21+H22+H23+H24+H25+H26+H27+H28</f>
        <v>434256</v>
      </c>
      <c r="I29" s="4">
        <f t="shared" si="0"/>
        <v>0</v>
      </c>
      <c r="J29" s="4">
        <f t="shared" si="0"/>
        <v>0</v>
      </c>
      <c r="K29" s="4">
        <f t="shared" si="0"/>
        <v>0</v>
      </c>
      <c r="L29" s="4">
        <f>L7+L8+L9+L10+L11+L12+L13+L14+L15+L16+L17+L18+L19+L20+L21+L22+L23+L24+L25+L26+L27+L28</f>
        <v>434256</v>
      </c>
    </row>
    <row r="30" spans="4:13" x14ac:dyDescent="0.25">
      <c r="F30" s="6"/>
      <c r="G30" s="9"/>
    </row>
    <row r="31" spans="4:13" x14ac:dyDescent="0.25">
      <c r="G31" s="9"/>
    </row>
    <row r="32" spans="4:13" x14ac:dyDescent="0.25">
      <c r="G32" s="9"/>
    </row>
  </sheetData>
  <pageMargins left="0.7" right="0.7" top="0.75" bottom="0.75" header="0.3" footer="0.3"/>
  <pageSetup paperSize="9" scale="62" fitToWidth="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  <pageSetUpPr fitToPage="1"/>
  </sheetPr>
  <dimension ref="B2:M37"/>
  <sheetViews>
    <sheetView zoomScale="70" zoomScaleNormal="70" workbookViewId="0">
      <selection activeCell="N32" sqref="N32"/>
    </sheetView>
  </sheetViews>
  <sheetFormatPr baseColWidth="10" defaultColWidth="9.140625" defaultRowHeight="15" x14ac:dyDescent="0.25"/>
  <cols>
    <col min="3" max="3" width="12.7109375" customWidth="1"/>
    <col min="4" max="4" width="47.42578125" customWidth="1"/>
    <col min="5" max="5" width="31.140625" customWidth="1"/>
    <col min="6" max="6" width="39.5703125" customWidth="1"/>
    <col min="7" max="7" width="15" customWidth="1"/>
    <col min="8" max="8" width="11.85546875" customWidth="1"/>
    <col min="9" max="9" width="14.7109375" customWidth="1"/>
    <col min="10" max="10" width="12.85546875" customWidth="1"/>
    <col min="11" max="11" width="13.28515625" customWidth="1"/>
    <col min="12" max="12" width="16.85546875" customWidth="1"/>
    <col min="13" max="13" width="17.85546875" customWidth="1"/>
  </cols>
  <sheetData>
    <row r="2" spans="2:13" ht="16.5" customHeight="1" x14ac:dyDescent="0.25"/>
    <row r="3" spans="2:13" ht="24.75" customHeight="1" x14ac:dyDescent="0.25">
      <c r="E3" s="15"/>
      <c r="F3" s="14" t="s">
        <v>75</v>
      </c>
      <c r="G3" s="14"/>
    </row>
    <row r="4" spans="2:13" ht="29.25" customHeight="1" x14ac:dyDescent="0.25">
      <c r="B4" s="17" t="s">
        <v>11</v>
      </c>
      <c r="C4" s="17" t="s">
        <v>13</v>
      </c>
      <c r="D4" s="17" t="s">
        <v>1</v>
      </c>
      <c r="E4" s="17" t="s">
        <v>19</v>
      </c>
      <c r="F4" s="17" t="s">
        <v>2</v>
      </c>
      <c r="G4" s="17" t="s">
        <v>14</v>
      </c>
      <c r="H4" s="17" t="s">
        <v>5</v>
      </c>
      <c r="I4" s="17" t="s">
        <v>6</v>
      </c>
      <c r="J4" s="17" t="s">
        <v>15</v>
      </c>
      <c r="K4" s="17" t="s">
        <v>16</v>
      </c>
      <c r="L4" s="17" t="s">
        <v>17</v>
      </c>
      <c r="M4" s="17" t="s">
        <v>18</v>
      </c>
    </row>
    <row r="5" spans="2:13" ht="31.5" customHeight="1" x14ac:dyDescent="0.25">
      <c r="B5" s="19">
        <v>76</v>
      </c>
      <c r="C5" s="19">
        <v>610221</v>
      </c>
      <c r="D5" s="19" t="s">
        <v>29</v>
      </c>
      <c r="E5" s="19" t="s">
        <v>27</v>
      </c>
      <c r="F5" s="19" t="s">
        <v>76</v>
      </c>
      <c r="G5" s="19">
        <v>52500</v>
      </c>
      <c r="H5" s="19"/>
      <c r="I5" s="19"/>
      <c r="J5" s="19"/>
      <c r="K5" s="19"/>
      <c r="L5" s="19">
        <v>52500</v>
      </c>
      <c r="M5" s="19"/>
    </row>
    <row r="6" spans="2:13" ht="30" customHeight="1" x14ac:dyDescent="0.25">
      <c r="B6" s="19">
        <v>77</v>
      </c>
      <c r="C6" s="19">
        <v>610223</v>
      </c>
      <c r="D6" s="19" t="s">
        <v>30</v>
      </c>
      <c r="E6" s="19" t="s">
        <v>27</v>
      </c>
      <c r="F6" s="19" t="s">
        <v>76</v>
      </c>
      <c r="G6" s="19">
        <v>15960</v>
      </c>
      <c r="H6" s="19"/>
      <c r="I6" s="19"/>
      <c r="J6" s="19"/>
      <c r="K6" s="19"/>
      <c r="L6" s="19">
        <v>15960</v>
      </c>
      <c r="M6" s="19"/>
    </row>
    <row r="7" spans="2:13" ht="30" customHeight="1" x14ac:dyDescent="0.25">
      <c r="B7" s="19">
        <v>78</v>
      </c>
      <c r="C7" s="19">
        <v>610251</v>
      </c>
      <c r="D7" s="19" t="s">
        <v>32</v>
      </c>
      <c r="E7" s="19" t="s">
        <v>31</v>
      </c>
      <c r="F7" s="19" t="s">
        <v>77</v>
      </c>
      <c r="G7" s="19">
        <v>24000</v>
      </c>
      <c r="H7" s="19"/>
      <c r="I7" s="19"/>
      <c r="J7" s="19"/>
      <c r="K7" s="19"/>
      <c r="L7" s="19">
        <v>24000</v>
      </c>
      <c r="M7" s="19"/>
    </row>
    <row r="8" spans="2:13" ht="30.75" customHeight="1" x14ac:dyDescent="0.25">
      <c r="B8" s="19">
        <v>74</v>
      </c>
      <c r="C8" s="19">
        <v>610222</v>
      </c>
      <c r="D8" s="19" t="s">
        <v>33</v>
      </c>
      <c r="E8" s="19" t="s">
        <v>27</v>
      </c>
      <c r="F8" s="19" t="s">
        <v>76</v>
      </c>
      <c r="G8" s="19">
        <v>19500</v>
      </c>
      <c r="H8" s="19"/>
      <c r="I8" s="19"/>
      <c r="J8" s="19"/>
      <c r="K8" s="19"/>
      <c r="L8" s="19">
        <v>19500</v>
      </c>
      <c r="M8" s="19"/>
    </row>
    <row r="9" spans="2:13" ht="30" customHeight="1" x14ac:dyDescent="0.25">
      <c r="B9" s="19">
        <v>1</v>
      </c>
      <c r="C9" s="19">
        <v>2101</v>
      </c>
      <c r="D9" s="19" t="s">
        <v>34</v>
      </c>
      <c r="E9" s="19" t="s">
        <v>35</v>
      </c>
      <c r="F9" s="19" t="s">
        <v>36</v>
      </c>
      <c r="G9" s="19">
        <v>375000</v>
      </c>
      <c r="H9" s="19"/>
      <c r="I9" s="19">
        <v>11250</v>
      </c>
      <c r="J9" s="19"/>
      <c r="K9" s="19"/>
      <c r="L9" s="19">
        <v>363750</v>
      </c>
      <c r="M9" s="19"/>
    </row>
    <row r="10" spans="2:13" ht="29.25" customHeight="1" x14ac:dyDescent="0.25">
      <c r="B10" s="19">
        <v>2</v>
      </c>
      <c r="C10" s="19">
        <v>2101</v>
      </c>
      <c r="D10" s="19" t="s">
        <v>34</v>
      </c>
      <c r="E10" s="19" t="s">
        <v>35</v>
      </c>
      <c r="F10" s="19" t="s">
        <v>36</v>
      </c>
      <c r="G10" s="19">
        <v>240000</v>
      </c>
      <c r="H10" s="19"/>
      <c r="I10" s="19">
        <v>7200</v>
      </c>
      <c r="J10" s="19"/>
      <c r="K10" s="19"/>
      <c r="L10" s="19">
        <v>232800</v>
      </c>
      <c r="M10" s="19"/>
    </row>
    <row r="11" spans="2:13" ht="30.75" customHeight="1" x14ac:dyDescent="0.25">
      <c r="B11" s="19">
        <v>3</v>
      </c>
      <c r="C11" s="19">
        <v>2101</v>
      </c>
      <c r="D11" s="19" t="s">
        <v>34</v>
      </c>
      <c r="E11" s="19" t="s">
        <v>37</v>
      </c>
      <c r="F11" s="19" t="s">
        <v>38</v>
      </c>
      <c r="G11" s="19">
        <v>370000</v>
      </c>
      <c r="H11" s="19"/>
      <c r="I11" s="19">
        <v>11100</v>
      </c>
      <c r="J11" s="19"/>
      <c r="K11" s="19"/>
      <c r="L11" s="19">
        <v>358900</v>
      </c>
      <c r="M11" s="19"/>
    </row>
    <row r="12" spans="2:13" ht="30.75" customHeight="1" x14ac:dyDescent="0.25">
      <c r="B12" s="19">
        <v>4</v>
      </c>
      <c r="C12" s="19">
        <v>61012</v>
      </c>
      <c r="D12" s="19" t="s">
        <v>39</v>
      </c>
      <c r="E12" s="19" t="s">
        <v>39</v>
      </c>
      <c r="F12" s="19" t="s">
        <v>79</v>
      </c>
      <c r="G12" s="19">
        <v>422000</v>
      </c>
      <c r="H12" s="19"/>
      <c r="I12" s="19"/>
      <c r="J12" s="19"/>
      <c r="K12" s="19"/>
      <c r="L12" s="19">
        <v>422000</v>
      </c>
      <c r="M12" s="19"/>
    </row>
    <row r="13" spans="2:13" ht="30" customHeight="1" x14ac:dyDescent="0.25">
      <c r="B13" s="19">
        <v>5</v>
      </c>
      <c r="C13" s="19">
        <v>610241</v>
      </c>
      <c r="D13" s="19" t="s">
        <v>40</v>
      </c>
      <c r="E13" s="19" t="s">
        <v>41</v>
      </c>
      <c r="F13" s="19" t="s">
        <v>78</v>
      </c>
      <c r="G13" s="19">
        <v>36000</v>
      </c>
      <c r="H13" s="19"/>
      <c r="I13" s="19"/>
      <c r="J13" s="19"/>
      <c r="K13" s="19"/>
      <c r="L13" s="19">
        <v>36000</v>
      </c>
      <c r="M13" s="19"/>
    </row>
    <row r="14" spans="2:13" ht="30.75" customHeight="1" x14ac:dyDescent="0.25">
      <c r="B14" s="19">
        <v>6</v>
      </c>
      <c r="C14" s="19">
        <v>6015</v>
      </c>
      <c r="D14" s="19" t="s">
        <v>43</v>
      </c>
      <c r="E14" s="19" t="s">
        <v>37</v>
      </c>
      <c r="F14" s="19" t="s">
        <v>42</v>
      </c>
      <c r="G14" s="19">
        <v>210000</v>
      </c>
      <c r="H14" s="19"/>
      <c r="I14" s="19"/>
      <c r="J14" s="19"/>
      <c r="K14" s="19"/>
      <c r="L14" s="19">
        <v>210000</v>
      </c>
      <c r="M14" s="19"/>
    </row>
    <row r="15" spans="2:13" ht="27.75" customHeight="1" x14ac:dyDescent="0.25">
      <c r="B15" s="19">
        <v>7</v>
      </c>
      <c r="C15" s="19">
        <v>220153</v>
      </c>
      <c r="D15" s="19" t="s">
        <v>44</v>
      </c>
      <c r="E15" s="19" t="s">
        <v>37</v>
      </c>
      <c r="F15" s="19" t="s">
        <v>42</v>
      </c>
      <c r="G15" s="19">
        <v>295000</v>
      </c>
      <c r="H15" s="19"/>
      <c r="I15" s="19">
        <v>8850</v>
      </c>
      <c r="J15" s="19"/>
      <c r="K15" s="19"/>
      <c r="L15" s="19">
        <v>286150</v>
      </c>
      <c r="M15" s="19"/>
    </row>
    <row r="16" spans="2:13" ht="30.75" customHeight="1" x14ac:dyDescent="0.25">
      <c r="B16" s="19">
        <v>8</v>
      </c>
      <c r="C16" s="19">
        <v>61012</v>
      </c>
      <c r="D16" s="19" t="s">
        <v>39</v>
      </c>
      <c r="E16" s="19" t="s">
        <v>39</v>
      </c>
      <c r="F16" s="19" t="s">
        <v>78</v>
      </c>
      <c r="G16" s="19">
        <v>54000</v>
      </c>
      <c r="H16" s="19"/>
      <c r="I16" s="19"/>
      <c r="J16" s="19"/>
      <c r="K16" s="19"/>
      <c r="L16" s="19">
        <v>54000</v>
      </c>
      <c r="M16" s="19"/>
    </row>
    <row r="17" spans="2:13" ht="27.75" customHeight="1" x14ac:dyDescent="0.25">
      <c r="B17" s="19">
        <v>9</v>
      </c>
      <c r="C17" s="19">
        <v>610222</v>
      </c>
      <c r="D17" s="19" t="s">
        <v>33</v>
      </c>
      <c r="E17" s="19" t="s">
        <v>27</v>
      </c>
      <c r="F17" s="19" t="s">
        <v>45</v>
      </c>
      <c r="G17" s="19">
        <v>19500</v>
      </c>
      <c r="H17" s="19"/>
      <c r="I17" s="19"/>
      <c r="J17" s="19"/>
      <c r="K17" s="19"/>
      <c r="L17" s="19">
        <v>19500</v>
      </c>
      <c r="M17" s="19"/>
    </row>
    <row r="18" spans="2:13" ht="30" customHeight="1" x14ac:dyDescent="0.25">
      <c r="B18" s="19">
        <v>10</v>
      </c>
      <c r="C18" s="19">
        <v>610231</v>
      </c>
      <c r="D18" s="19" t="s">
        <v>33</v>
      </c>
      <c r="E18" s="19" t="s">
        <v>46</v>
      </c>
      <c r="F18" s="19" t="s">
        <v>47</v>
      </c>
      <c r="G18" s="19">
        <v>23400</v>
      </c>
      <c r="H18" s="19"/>
      <c r="I18" s="19"/>
      <c r="J18" s="19"/>
      <c r="K18" s="19"/>
      <c r="L18" s="19">
        <v>23400</v>
      </c>
      <c r="M18" s="19"/>
    </row>
    <row r="19" spans="2:13" ht="30" customHeight="1" x14ac:dyDescent="0.25">
      <c r="B19" s="19">
        <v>11</v>
      </c>
      <c r="C19" s="19">
        <v>610221</v>
      </c>
      <c r="D19" s="19" t="s">
        <v>29</v>
      </c>
      <c r="E19" s="19" t="s">
        <v>27</v>
      </c>
      <c r="F19" s="19" t="s">
        <v>45</v>
      </c>
      <c r="G19" s="19">
        <v>52500</v>
      </c>
      <c r="H19" s="19"/>
      <c r="I19" s="19"/>
      <c r="J19" s="19"/>
      <c r="K19" s="19"/>
      <c r="L19" s="19">
        <v>52500</v>
      </c>
      <c r="M19" s="19"/>
    </row>
    <row r="20" spans="2:13" ht="30.75" customHeight="1" x14ac:dyDescent="0.25">
      <c r="B20" s="19">
        <v>12</v>
      </c>
      <c r="C20" s="19">
        <v>610223</v>
      </c>
      <c r="D20" s="19" t="s">
        <v>30</v>
      </c>
      <c r="E20" s="19" t="s">
        <v>27</v>
      </c>
      <c r="F20" s="19" t="s">
        <v>45</v>
      </c>
      <c r="G20" s="19">
        <v>15960</v>
      </c>
      <c r="H20" s="19"/>
      <c r="I20" s="19"/>
      <c r="J20" s="19"/>
      <c r="K20" s="19"/>
      <c r="L20" s="19">
        <v>15960</v>
      </c>
      <c r="M20" s="19"/>
    </row>
    <row r="21" spans="2:13" ht="29.25" customHeight="1" x14ac:dyDescent="0.25">
      <c r="B21" s="19">
        <v>13</v>
      </c>
      <c r="C21" s="19">
        <v>610251</v>
      </c>
      <c r="D21" s="19" t="s">
        <v>32</v>
      </c>
      <c r="E21" s="19" t="s">
        <v>31</v>
      </c>
      <c r="F21" s="19" t="s">
        <v>48</v>
      </c>
      <c r="G21" s="19">
        <v>24000</v>
      </c>
      <c r="H21" s="19"/>
      <c r="I21" s="19"/>
      <c r="J21" s="19"/>
      <c r="K21" s="19"/>
      <c r="L21" s="19">
        <v>24000</v>
      </c>
      <c r="M21" s="19"/>
    </row>
    <row r="22" spans="2:13" ht="30.75" customHeight="1" x14ac:dyDescent="0.25">
      <c r="B22" s="19">
        <v>14</v>
      </c>
      <c r="C22" s="19">
        <v>610272</v>
      </c>
      <c r="D22" s="19" t="s">
        <v>28</v>
      </c>
      <c r="E22" s="19" t="s">
        <v>49</v>
      </c>
      <c r="F22" s="19" t="s">
        <v>47</v>
      </c>
      <c r="G22" s="19">
        <v>9000</v>
      </c>
      <c r="H22" s="19"/>
      <c r="I22" s="19"/>
      <c r="J22" s="19"/>
      <c r="K22" s="19"/>
      <c r="L22" s="19">
        <v>9000</v>
      </c>
      <c r="M22" s="19"/>
    </row>
    <row r="23" spans="2:13" ht="30.75" customHeight="1" x14ac:dyDescent="0.25">
      <c r="B23" s="19">
        <v>15</v>
      </c>
      <c r="C23" s="19">
        <v>610272</v>
      </c>
      <c r="D23" s="19" t="s">
        <v>28</v>
      </c>
      <c r="E23" s="19" t="s">
        <v>51</v>
      </c>
      <c r="F23" s="19" t="s">
        <v>50</v>
      </c>
      <c r="G23" s="19">
        <v>39000</v>
      </c>
      <c r="H23" s="19"/>
      <c r="I23" s="19"/>
      <c r="J23" s="19"/>
      <c r="K23" s="19"/>
      <c r="L23" s="19">
        <v>39000</v>
      </c>
      <c r="M23" s="19"/>
    </row>
    <row r="24" spans="2:13" ht="30" customHeight="1" x14ac:dyDescent="0.25">
      <c r="B24" s="19">
        <v>16</v>
      </c>
      <c r="C24" s="19">
        <v>610252</v>
      </c>
      <c r="D24" s="19" t="s">
        <v>53</v>
      </c>
      <c r="E24" s="19" t="s">
        <v>54</v>
      </c>
      <c r="F24" s="19" t="s">
        <v>48</v>
      </c>
      <c r="G24" s="19">
        <v>25500</v>
      </c>
      <c r="H24" s="19"/>
      <c r="I24" s="19"/>
      <c r="J24" s="19"/>
      <c r="K24" s="19"/>
      <c r="L24" s="19">
        <v>25500</v>
      </c>
      <c r="M24" s="19"/>
    </row>
    <row r="25" spans="2:13" ht="29.25" customHeight="1" x14ac:dyDescent="0.25">
      <c r="B25" s="19">
        <v>17</v>
      </c>
      <c r="C25" s="19">
        <v>61012</v>
      </c>
      <c r="D25" s="19" t="s">
        <v>39</v>
      </c>
      <c r="E25" s="19" t="s">
        <v>39</v>
      </c>
      <c r="F25" s="19" t="s">
        <v>52</v>
      </c>
      <c r="G25" s="19">
        <v>51000</v>
      </c>
      <c r="H25" s="19"/>
      <c r="I25" s="19"/>
      <c r="J25" s="19"/>
      <c r="K25" s="19"/>
      <c r="L25" s="19">
        <v>51000</v>
      </c>
      <c r="M25" s="19"/>
    </row>
    <row r="26" spans="2:13" ht="31.5" customHeight="1" x14ac:dyDescent="0.25">
      <c r="B26" s="19">
        <v>18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</row>
    <row r="27" spans="2:13" ht="40.5" customHeight="1" x14ac:dyDescent="0.25">
      <c r="B27" s="19">
        <v>19</v>
      </c>
      <c r="C27" s="19">
        <v>61011</v>
      </c>
      <c r="D27" s="19" t="s">
        <v>55</v>
      </c>
      <c r="E27" s="19" t="s">
        <v>55</v>
      </c>
      <c r="F27" s="19" t="s">
        <v>47</v>
      </c>
      <c r="G27" s="19">
        <v>9000</v>
      </c>
      <c r="H27" s="19"/>
      <c r="I27" s="19"/>
      <c r="J27" s="19">
        <v>90</v>
      </c>
      <c r="K27" s="19">
        <v>360</v>
      </c>
      <c r="L27" s="19">
        <v>8550</v>
      </c>
      <c r="M27" s="12"/>
    </row>
    <row r="28" spans="2:13" ht="42" customHeight="1" x14ac:dyDescent="0.25">
      <c r="B28" s="19">
        <v>20</v>
      </c>
      <c r="C28" s="19">
        <v>61031</v>
      </c>
      <c r="D28" s="19" t="s">
        <v>56</v>
      </c>
      <c r="E28" s="19" t="s">
        <v>55</v>
      </c>
      <c r="F28" s="19" t="s">
        <v>26</v>
      </c>
      <c r="G28" s="19">
        <v>1170</v>
      </c>
      <c r="H28" s="19"/>
      <c r="I28" s="19"/>
      <c r="J28" s="19">
        <v>1170</v>
      </c>
      <c r="K28" s="19"/>
      <c r="L28" s="19">
        <v>1170</v>
      </c>
      <c r="M28" s="12"/>
    </row>
    <row r="29" spans="2:13" ht="40.5" customHeight="1" x14ac:dyDescent="0.25">
      <c r="B29" s="19">
        <v>21</v>
      </c>
      <c r="C29" s="19">
        <v>61032</v>
      </c>
      <c r="D29" s="19" t="s">
        <v>57</v>
      </c>
      <c r="E29" s="19" t="s">
        <v>55</v>
      </c>
      <c r="F29" s="19" t="s">
        <v>26</v>
      </c>
      <c r="G29" s="19">
        <v>450</v>
      </c>
      <c r="H29" s="19"/>
      <c r="I29" s="19"/>
      <c r="J29" s="19"/>
      <c r="K29" s="19">
        <v>450</v>
      </c>
      <c r="L29" s="19">
        <v>450</v>
      </c>
      <c r="M29" s="12"/>
    </row>
    <row r="30" spans="2:13" ht="44.25" customHeight="1" x14ac:dyDescent="0.25">
      <c r="B30" s="19">
        <v>22</v>
      </c>
      <c r="C30" s="19">
        <v>61011</v>
      </c>
      <c r="D30" s="19" t="s">
        <v>55</v>
      </c>
      <c r="E30" s="19" t="s">
        <v>55</v>
      </c>
      <c r="F30" s="19" t="s">
        <v>47</v>
      </c>
      <c r="G30" s="19">
        <v>9000</v>
      </c>
      <c r="H30" s="19"/>
      <c r="I30" s="19"/>
      <c r="J30" s="19">
        <v>90</v>
      </c>
      <c r="K30" s="19">
        <v>360</v>
      </c>
      <c r="L30" s="19">
        <v>8550</v>
      </c>
      <c r="M30" s="12"/>
    </row>
    <row r="31" spans="2:13" ht="30.75" customHeight="1" x14ac:dyDescent="0.25">
      <c r="B31" s="19">
        <v>23</v>
      </c>
      <c r="C31" s="19">
        <v>61031</v>
      </c>
      <c r="D31" s="19" t="s">
        <v>56</v>
      </c>
      <c r="E31" s="19" t="s">
        <v>55</v>
      </c>
      <c r="F31" s="19" t="s">
        <v>26</v>
      </c>
      <c r="G31" s="19">
        <v>1170</v>
      </c>
      <c r="H31" s="19"/>
      <c r="I31" s="19"/>
      <c r="J31" s="19">
        <v>1170</v>
      </c>
      <c r="K31" s="19"/>
      <c r="L31" s="19">
        <v>1170</v>
      </c>
      <c r="M31" s="12"/>
    </row>
    <row r="32" spans="2:13" ht="32.25" customHeight="1" x14ac:dyDescent="0.25">
      <c r="B32" s="19">
        <v>24</v>
      </c>
      <c r="C32" s="19">
        <v>61032</v>
      </c>
      <c r="D32" s="19" t="s">
        <v>57</v>
      </c>
      <c r="E32" s="19" t="s">
        <v>55</v>
      </c>
      <c r="F32" s="19" t="s">
        <v>26</v>
      </c>
      <c r="G32" s="19">
        <v>450</v>
      </c>
      <c r="H32" s="19"/>
      <c r="I32" s="19"/>
      <c r="J32" s="19"/>
      <c r="K32" s="19">
        <v>450</v>
      </c>
      <c r="L32" s="19">
        <v>450</v>
      </c>
      <c r="M32" s="12"/>
    </row>
    <row r="33" spans="2:13" ht="30.75" customHeight="1" x14ac:dyDescent="0.25">
      <c r="B33" s="19">
        <v>25</v>
      </c>
      <c r="C33" s="19">
        <v>61011</v>
      </c>
      <c r="D33" s="19" t="s">
        <v>55</v>
      </c>
      <c r="E33" s="19" t="s">
        <v>55</v>
      </c>
      <c r="F33" s="19" t="s">
        <v>47</v>
      </c>
      <c r="G33" s="19">
        <v>9000</v>
      </c>
      <c r="H33" s="19"/>
      <c r="I33" s="19"/>
      <c r="J33" s="19">
        <v>90</v>
      </c>
      <c r="K33" s="19">
        <v>360</v>
      </c>
      <c r="L33" s="19">
        <v>8550</v>
      </c>
      <c r="M33" s="23"/>
    </row>
    <row r="34" spans="2:13" ht="30" customHeight="1" x14ac:dyDescent="0.25">
      <c r="B34" s="19">
        <v>26</v>
      </c>
      <c r="C34" s="19">
        <v>61031</v>
      </c>
      <c r="D34" s="19" t="s">
        <v>56</v>
      </c>
      <c r="E34" s="19" t="s">
        <v>55</v>
      </c>
      <c r="F34" s="19" t="s">
        <v>26</v>
      </c>
      <c r="G34" s="19">
        <v>1170</v>
      </c>
      <c r="H34" s="19"/>
      <c r="I34" s="19"/>
      <c r="J34" s="19">
        <v>1170</v>
      </c>
      <c r="K34" s="19"/>
      <c r="L34" s="19">
        <v>1170</v>
      </c>
      <c r="M34" s="23"/>
    </row>
    <row r="35" spans="2:13" ht="29.25" customHeight="1" x14ac:dyDescent="0.25">
      <c r="B35" s="19">
        <v>27</v>
      </c>
      <c r="C35" s="19">
        <v>61032</v>
      </c>
      <c r="D35" s="19" t="s">
        <v>57</v>
      </c>
      <c r="E35" s="19" t="s">
        <v>55</v>
      </c>
      <c r="F35" s="19" t="s">
        <v>26</v>
      </c>
      <c r="G35" s="19">
        <v>450</v>
      </c>
      <c r="H35" s="19"/>
      <c r="I35" s="19"/>
      <c r="J35" s="19"/>
      <c r="K35" s="19">
        <v>450</v>
      </c>
      <c r="L35" s="19">
        <v>450</v>
      </c>
      <c r="M35" s="23"/>
    </row>
    <row r="36" spans="2:13" ht="29.25" customHeight="1" x14ac:dyDescent="0.25"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</row>
    <row r="37" spans="2:13" ht="30" customHeight="1" x14ac:dyDescent="0.25">
      <c r="B37" s="23"/>
      <c r="C37" s="23"/>
      <c r="D37" s="24" t="s">
        <v>20</v>
      </c>
      <c r="E37" s="24"/>
      <c r="F37" s="24"/>
      <c r="G37" s="24">
        <v>2405680</v>
      </c>
      <c r="H37" s="24"/>
      <c r="I37" s="24">
        <v>38400</v>
      </c>
      <c r="J37" s="24">
        <f>J34+J33+J31+J30+J28+J27</f>
        <v>3780</v>
      </c>
      <c r="K37" s="24">
        <f>K35+K33+K32+K30+K29+K27</f>
        <v>2430</v>
      </c>
      <c r="L37" s="24">
        <f>L35+L34+L33+L32+L31+L30+L29+L28+L27+L25+L24+L23+L22+L21+L20+L19+L18+L17+L16+L15+L14+L13+L12+L11+L10+L9+L8+L7+L6+L5</f>
        <v>2365930</v>
      </c>
      <c r="M37" s="23"/>
    </row>
  </sheetData>
  <pageMargins left="0.25" right="0.25" top="0.75" bottom="0.75" header="0.3" footer="0.3"/>
  <pageSetup paperSize="9" scale="56" fitToHeight="0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749992370372631"/>
    <pageSetUpPr fitToPage="1"/>
  </sheetPr>
  <dimension ref="B3:M22"/>
  <sheetViews>
    <sheetView zoomScale="70" zoomScaleNormal="70" workbookViewId="0">
      <selection activeCell="D18" sqref="D18"/>
    </sheetView>
  </sheetViews>
  <sheetFormatPr baseColWidth="10" defaultColWidth="9.140625" defaultRowHeight="15" x14ac:dyDescent="0.25"/>
  <cols>
    <col min="2" max="2" width="9.28515625" customWidth="1"/>
    <col min="3" max="3" width="14.28515625" customWidth="1"/>
    <col min="4" max="4" width="40.140625" customWidth="1"/>
    <col min="5" max="5" width="23.5703125" customWidth="1"/>
    <col min="6" max="6" width="45.28515625" customWidth="1"/>
    <col min="7" max="7" width="13.5703125" customWidth="1"/>
    <col min="8" max="8" width="10.5703125" customWidth="1"/>
    <col min="9" max="9" width="15.42578125" customWidth="1"/>
    <col min="10" max="11" width="17.140625" customWidth="1"/>
    <col min="12" max="12" width="21.85546875" customWidth="1"/>
    <col min="13" max="13" width="26.42578125" customWidth="1"/>
  </cols>
  <sheetData>
    <row r="3" spans="2:13" ht="29.25" customHeight="1" x14ac:dyDescent="0.3">
      <c r="E3" s="29" t="s">
        <v>74</v>
      </c>
    </row>
    <row r="4" spans="2:13" ht="30.75" customHeight="1" x14ac:dyDescent="0.25">
      <c r="B4" s="16" t="s">
        <v>11</v>
      </c>
      <c r="C4" s="16" t="s">
        <v>13</v>
      </c>
      <c r="D4" s="16" t="s">
        <v>1</v>
      </c>
      <c r="E4" s="16" t="s">
        <v>12</v>
      </c>
      <c r="F4" s="16" t="s">
        <v>2</v>
      </c>
      <c r="G4" s="16" t="s">
        <v>14</v>
      </c>
      <c r="H4" s="16" t="s">
        <v>5</v>
      </c>
      <c r="I4" s="16" t="s">
        <v>6</v>
      </c>
      <c r="J4" s="16" t="s">
        <v>15</v>
      </c>
      <c r="K4" s="16" t="s">
        <v>16</v>
      </c>
      <c r="L4" s="16" t="s">
        <v>17</v>
      </c>
      <c r="M4" s="16" t="s">
        <v>18</v>
      </c>
    </row>
    <row r="5" spans="2:13" ht="32.25" customHeight="1" x14ac:dyDescent="0.25">
      <c r="B5" s="12">
        <v>1</v>
      </c>
      <c r="C5" s="12">
        <v>610222</v>
      </c>
      <c r="D5" s="12" t="s">
        <v>58</v>
      </c>
      <c r="E5" s="12" t="s">
        <v>27</v>
      </c>
      <c r="F5" s="12" t="s">
        <v>65</v>
      </c>
      <c r="G5" s="12">
        <v>8100</v>
      </c>
      <c r="H5" s="12"/>
      <c r="I5" s="12"/>
      <c r="J5" s="12"/>
      <c r="K5" s="12"/>
      <c r="L5" s="12">
        <v>8100</v>
      </c>
      <c r="M5" s="4"/>
    </row>
    <row r="6" spans="2:13" ht="30.75" customHeight="1" x14ac:dyDescent="0.25">
      <c r="B6" s="12">
        <v>2</v>
      </c>
      <c r="C6" s="12">
        <v>610231</v>
      </c>
      <c r="D6" s="12" t="s">
        <v>58</v>
      </c>
      <c r="E6" s="12" t="s">
        <v>66</v>
      </c>
      <c r="F6" s="12" t="s">
        <v>65</v>
      </c>
      <c r="G6" s="12">
        <v>4500</v>
      </c>
      <c r="H6" s="12"/>
      <c r="I6" s="12"/>
      <c r="J6" s="12"/>
      <c r="K6" s="12"/>
      <c r="L6" s="12">
        <v>4500</v>
      </c>
      <c r="M6" s="1"/>
    </row>
    <row r="7" spans="2:13" ht="30.75" customHeight="1" x14ac:dyDescent="0.25">
      <c r="B7" s="12">
        <v>3</v>
      </c>
      <c r="C7" s="12">
        <v>610221</v>
      </c>
      <c r="D7" s="23" t="s">
        <v>29</v>
      </c>
      <c r="E7" s="12" t="s">
        <v>27</v>
      </c>
      <c r="F7" s="12" t="s">
        <v>65</v>
      </c>
      <c r="G7" s="12">
        <v>10500</v>
      </c>
      <c r="H7" s="12"/>
      <c r="I7" s="12"/>
      <c r="J7" s="12"/>
      <c r="K7" s="12"/>
      <c r="L7" s="12">
        <v>10500</v>
      </c>
      <c r="M7" s="1"/>
    </row>
    <row r="8" spans="2:13" ht="28.5" customHeight="1" x14ac:dyDescent="0.25">
      <c r="B8" s="12">
        <v>4</v>
      </c>
      <c r="C8" s="12">
        <v>610223</v>
      </c>
      <c r="D8" s="23" t="s">
        <v>30</v>
      </c>
      <c r="E8" s="12" t="s">
        <v>27</v>
      </c>
      <c r="F8" s="12" t="s">
        <v>65</v>
      </c>
      <c r="G8" s="12">
        <v>9000</v>
      </c>
      <c r="H8" s="12"/>
      <c r="I8" s="12"/>
      <c r="J8" s="12"/>
      <c r="K8" s="12"/>
      <c r="L8" s="12">
        <v>9000</v>
      </c>
      <c r="M8" s="1"/>
    </row>
    <row r="9" spans="2:13" ht="29.25" customHeight="1" x14ac:dyDescent="0.25">
      <c r="B9" s="12">
        <v>5</v>
      </c>
      <c r="C9" s="12">
        <v>610251</v>
      </c>
      <c r="D9" s="23" t="s">
        <v>32</v>
      </c>
      <c r="E9" s="12" t="s">
        <v>31</v>
      </c>
      <c r="F9" s="12" t="s">
        <v>65</v>
      </c>
      <c r="G9" s="12">
        <v>12000</v>
      </c>
      <c r="H9" s="12"/>
      <c r="I9" s="12"/>
      <c r="J9" s="12"/>
      <c r="K9" s="12"/>
      <c r="L9" s="12">
        <v>12000</v>
      </c>
      <c r="M9" s="1"/>
    </row>
    <row r="10" spans="2:13" ht="29.25" customHeight="1" x14ac:dyDescent="0.25">
      <c r="B10" s="12">
        <v>6</v>
      </c>
      <c r="C10" s="12">
        <v>610252</v>
      </c>
      <c r="D10" s="12" t="s">
        <v>53</v>
      </c>
      <c r="E10" s="12" t="s">
        <v>31</v>
      </c>
      <c r="F10" s="12" t="s">
        <v>65</v>
      </c>
      <c r="G10" s="12">
        <v>4500</v>
      </c>
      <c r="H10" s="12"/>
      <c r="I10" s="12"/>
      <c r="J10" s="12"/>
      <c r="K10" s="12"/>
      <c r="L10" s="12">
        <v>4500</v>
      </c>
      <c r="M10" s="1"/>
    </row>
    <row r="11" spans="2:13" ht="30.75" customHeight="1" x14ac:dyDescent="0.25">
      <c r="B11" s="12">
        <v>7</v>
      </c>
      <c r="C11" s="12">
        <v>610272</v>
      </c>
      <c r="D11" s="12" t="s">
        <v>28</v>
      </c>
      <c r="E11" s="12" t="s">
        <v>67</v>
      </c>
      <c r="F11" s="12" t="s">
        <v>65</v>
      </c>
      <c r="G11" s="12">
        <v>12000</v>
      </c>
      <c r="H11" s="12"/>
      <c r="I11" s="12"/>
      <c r="J11" s="12"/>
      <c r="K11" s="12"/>
      <c r="L11" s="12">
        <v>12000</v>
      </c>
      <c r="M11" s="1"/>
    </row>
    <row r="12" spans="2:13" ht="29.25" customHeight="1" x14ac:dyDescent="0.25">
      <c r="B12" s="12">
        <v>8</v>
      </c>
      <c r="C12" s="12">
        <v>610241</v>
      </c>
      <c r="D12" s="12" t="s">
        <v>40</v>
      </c>
      <c r="E12" s="12" t="s">
        <v>41</v>
      </c>
      <c r="F12" s="12" t="s">
        <v>68</v>
      </c>
      <c r="G12" s="12">
        <v>11000</v>
      </c>
      <c r="H12" s="12"/>
      <c r="I12" s="12"/>
      <c r="J12" s="12"/>
      <c r="K12" s="12"/>
      <c r="L12" s="12">
        <v>11000</v>
      </c>
      <c r="M12" s="1"/>
    </row>
    <row r="13" spans="2:13" ht="30.75" customHeight="1" x14ac:dyDescent="0.25">
      <c r="B13" s="12">
        <v>9</v>
      </c>
      <c r="C13" s="23">
        <v>61012</v>
      </c>
      <c r="D13" s="23" t="s">
        <v>39</v>
      </c>
      <c r="E13" s="23" t="s">
        <v>39</v>
      </c>
      <c r="F13" s="12" t="s">
        <v>65</v>
      </c>
      <c r="G13" s="23">
        <v>27000</v>
      </c>
      <c r="H13" s="23"/>
      <c r="I13" s="23"/>
      <c r="J13" s="23"/>
      <c r="K13" s="23"/>
      <c r="L13" s="23">
        <v>27000</v>
      </c>
      <c r="M13" s="1"/>
    </row>
    <row r="14" spans="2:13" ht="30.75" customHeight="1" x14ac:dyDescent="0.25">
      <c r="B14" s="12">
        <v>10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"/>
    </row>
    <row r="15" spans="2:13" ht="30" customHeight="1" x14ac:dyDescent="0.25">
      <c r="B15" s="12">
        <v>11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"/>
    </row>
    <row r="16" spans="2:13" ht="30" customHeight="1" x14ac:dyDescent="0.25">
      <c r="B16" s="12">
        <v>12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"/>
    </row>
    <row r="17" spans="2:13" ht="30" customHeight="1" x14ac:dyDescent="0.25">
      <c r="B17" s="12">
        <v>13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"/>
    </row>
    <row r="18" spans="2:13" ht="28.5" customHeight="1" x14ac:dyDescent="0.25">
      <c r="B18" s="12">
        <v>14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"/>
    </row>
    <row r="19" spans="2:13" ht="30" customHeight="1" x14ac:dyDescent="0.25">
      <c r="B19" s="12">
        <v>15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"/>
    </row>
    <row r="20" spans="2:13" ht="31.5" customHeight="1" x14ac:dyDescent="0.25">
      <c r="B20" s="4">
        <v>16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2:13" ht="30.75" customHeight="1" x14ac:dyDescent="0.25">
      <c r="B21" s="4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2:13" ht="30" customHeight="1" x14ac:dyDescent="0.25">
      <c r="B22" s="1"/>
      <c r="C22" s="19" t="s">
        <v>20</v>
      </c>
      <c r="D22" s="19"/>
      <c r="E22" s="19"/>
      <c r="F22" s="19"/>
      <c r="G22" s="19">
        <f>G13+G12+G11+G10+G9+G8+G7+G6+G5</f>
        <v>98600</v>
      </c>
      <c r="H22" s="19">
        <f t="shared" ref="H22:L22" si="0">H13+H12+H11+H10+H9+H8+H7+H6+H5</f>
        <v>0</v>
      </c>
      <c r="I22" s="19">
        <f t="shared" si="0"/>
        <v>0</v>
      </c>
      <c r="J22" s="19">
        <f t="shared" si="0"/>
        <v>0</v>
      </c>
      <c r="K22" s="19">
        <f t="shared" si="0"/>
        <v>0</v>
      </c>
      <c r="L22" s="19">
        <f t="shared" si="0"/>
        <v>98600</v>
      </c>
      <c r="M22" s="1"/>
    </row>
  </sheetData>
  <pageMargins left="0.7" right="0.7" top="0.75" bottom="0.75" header="0.3" footer="0.3"/>
  <pageSetup paperSize="9" scale="52" fitToHeight="0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  <pageSetUpPr fitToPage="1"/>
  </sheetPr>
  <dimension ref="B2:M23"/>
  <sheetViews>
    <sheetView zoomScale="60" zoomScaleNormal="60" workbookViewId="0">
      <selection activeCell="N15" sqref="N15"/>
    </sheetView>
  </sheetViews>
  <sheetFormatPr baseColWidth="10" defaultRowHeight="15" x14ac:dyDescent="0.25"/>
  <cols>
    <col min="3" max="3" width="14.28515625" customWidth="1"/>
    <col min="4" max="4" width="57" customWidth="1"/>
    <col min="5" max="5" width="34.7109375" customWidth="1"/>
    <col min="6" max="6" width="37.85546875" customWidth="1"/>
    <col min="7" max="7" width="20.85546875" customWidth="1"/>
    <col min="8" max="8" width="12.85546875" customWidth="1"/>
    <col min="9" max="9" width="19" customWidth="1"/>
    <col min="10" max="10" width="19.5703125" customWidth="1"/>
    <col min="11" max="11" width="16.28515625" customWidth="1"/>
    <col min="12" max="12" width="22.42578125" customWidth="1"/>
    <col min="13" max="13" width="22.140625" customWidth="1"/>
  </cols>
  <sheetData>
    <row r="2" spans="2:13" ht="21" x14ac:dyDescent="0.25">
      <c r="F2" s="28" t="s">
        <v>73</v>
      </c>
    </row>
    <row r="4" spans="2:13" ht="46.5" customHeight="1" x14ac:dyDescent="0.25">
      <c r="B4" s="33" t="s">
        <v>11</v>
      </c>
      <c r="C4" s="33" t="s">
        <v>13</v>
      </c>
      <c r="D4" s="33" t="s">
        <v>1</v>
      </c>
      <c r="E4" s="33" t="s">
        <v>19</v>
      </c>
      <c r="F4" s="33" t="s">
        <v>2</v>
      </c>
      <c r="G4" s="33" t="s">
        <v>14</v>
      </c>
      <c r="H4" s="33" t="s">
        <v>5</v>
      </c>
      <c r="I4" s="33" t="s">
        <v>6</v>
      </c>
      <c r="J4" s="33" t="s">
        <v>15</v>
      </c>
      <c r="K4" s="33" t="s">
        <v>16</v>
      </c>
      <c r="L4" s="33" t="s">
        <v>17</v>
      </c>
      <c r="M4" s="33" t="s">
        <v>18</v>
      </c>
    </row>
    <row r="5" spans="2:13" ht="30" customHeight="1" x14ac:dyDescent="0.25">
      <c r="B5" s="34">
        <v>1</v>
      </c>
      <c r="C5" s="34">
        <v>610222</v>
      </c>
      <c r="D5" s="34" t="s">
        <v>58</v>
      </c>
      <c r="E5" s="34" t="s">
        <v>59</v>
      </c>
      <c r="F5" s="34" t="s">
        <v>60</v>
      </c>
      <c r="G5" s="34">
        <v>8100</v>
      </c>
      <c r="H5" s="34"/>
      <c r="I5" s="34"/>
      <c r="J5" s="34"/>
      <c r="K5" s="34"/>
      <c r="L5" s="34">
        <v>8100</v>
      </c>
      <c r="M5" s="34"/>
    </row>
    <row r="6" spans="2:13" ht="30.75" customHeight="1" x14ac:dyDescent="0.25">
      <c r="B6" s="34">
        <v>2</v>
      </c>
      <c r="C6" s="34">
        <v>610231</v>
      </c>
      <c r="D6" s="34" t="s">
        <v>58</v>
      </c>
      <c r="E6" s="34" t="s">
        <v>61</v>
      </c>
      <c r="F6" s="34" t="s">
        <v>60</v>
      </c>
      <c r="G6" s="34">
        <v>4500</v>
      </c>
      <c r="H6" s="34"/>
      <c r="I6" s="34"/>
      <c r="J6" s="34"/>
      <c r="K6" s="34"/>
      <c r="L6" s="34">
        <v>4500</v>
      </c>
      <c r="M6" s="34"/>
    </row>
    <row r="7" spans="2:13" ht="29.25" customHeight="1" x14ac:dyDescent="0.25">
      <c r="B7" s="34">
        <v>3</v>
      </c>
      <c r="C7" s="34">
        <v>610221</v>
      </c>
      <c r="D7" s="34" t="s">
        <v>29</v>
      </c>
      <c r="E7" s="34" t="s">
        <v>59</v>
      </c>
      <c r="F7" s="34" t="s">
        <v>60</v>
      </c>
      <c r="G7" s="34">
        <v>10500</v>
      </c>
      <c r="H7" s="34"/>
      <c r="I7" s="34"/>
      <c r="J7" s="34"/>
      <c r="K7" s="34"/>
      <c r="L7" s="34">
        <v>10500</v>
      </c>
      <c r="M7" s="34"/>
    </row>
    <row r="8" spans="2:13" ht="32.25" customHeight="1" x14ac:dyDescent="0.25">
      <c r="B8" s="34">
        <v>4</v>
      </c>
      <c r="C8" s="34">
        <v>610223</v>
      </c>
      <c r="D8" s="34" t="s">
        <v>30</v>
      </c>
      <c r="E8" s="34" t="s">
        <v>59</v>
      </c>
      <c r="F8" s="34" t="s">
        <v>60</v>
      </c>
      <c r="G8" s="34">
        <v>9000</v>
      </c>
      <c r="H8" s="34"/>
      <c r="I8" s="34"/>
      <c r="J8" s="34"/>
      <c r="K8" s="34"/>
      <c r="L8" s="34">
        <v>9000</v>
      </c>
      <c r="M8" s="34"/>
    </row>
    <row r="9" spans="2:13" ht="30.75" customHeight="1" x14ac:dyDescent="0.25">
      <c r="B9" s="34">
        <v>5</v>
      </c>
      <c r="C9" s="34">
        <v>610251</v>
      </c>
      <c r="D9" s="34" t="s">
        <v>32</v>
      </c>
      <c r="E9" s="34" t="s">
        <v>31</v>
      </c>
      <c r="F9" s="34" t="s">
        <v>60</v>
      </c>
      <c r="G9" s="34">
        <v>12000</v>
      </c>
      <c r="H9" s="34"/>
      <c r="I9" s="34"/>
      <c r="J9" s="34"/>
      <c r="K9" s="34"/>
      <c r="L9" s="34">
        <v>12000</v>
      </c>
      <c r="M9" s="34"/>
    </row>
    <row r="10" spans="2:13" ht="32.25" customHeight="1" x14ac:dyDescent="0.25">
      <c r="B10" s="34">
        <v>6</v>
      </c>
      <c r="C10" s="34">
        <v>610252</v>
      </c>
      <c r="D10" s="35" t="s">
        <v>53</v>
      </c>
      <c r="E10" s="34" t="s">
        <v>31</v>
      </c>
      <c r="F10" s="34" t="s">
        <v>60</v>
      </c>
      <c r="G10" s="34">
        <v>4500</v>
      </c>
      <c r="H10" s="34"/>
      <c r="I10" s="34"/>
      <c r="J10" s="34"/>
      <c r="K10" s="34"/>
      <c r="L10" s="34">
        <v>4500</v>
      </c>
      <c r="M10" s="34"/>
    </row>
    <row r="11" spans="2:13" ht="30.75" customHeight="1" x14ac:dyDescent="0.25">
      <c r="B11" s="34">
        <v>7</v>
      </c>
      <c r="C11" s="34">
        <v>610272</v>
      </c>
      <c r="D11" s="34" t="s">
        <v>28</v>
      </c>
      <c r="E11" s="34" t="s">
        <v>62</v>
      </c>
      <c r="F11" s="34" t="s">
        <v>60</v>
      </c>
      <c r="G11" s="34">
        <v>12000</v>
      </c>
      <c r="H11" s="34"/>
      <c r="I11" s="34"/>
      <c r="J11" s="34"/>
      <c r="K11" s="34"/>
      <c r="L11" s="34">
        <v>12000</v>
      </c>
      <c r="M11" s="34"/>
    </row>
    <row r="12" spans="2:13" ht="29.25" customHeight="1" x14ac:dyDescent="0.25">
      <c r="B12" s="34">
        <v>8</v>
      </c>
      <c r="C12" s="34">
        <v>610261</v>
      </c>
      <c r="D12" s="34" t="s">
        <v>58</v>
      </c>
      <c r="E12" s="34" t="s">
        <v>63</v>
      </c>
      <c r="F12" s="34" t="s">
        <v>60</v>
      </c>
      <c r="G12" s="34">
        <v>12000</v>
      </c>
      <c r="H12" s="34"/>
      <c r="I12" s="34"/>
      <c r="J12" s="34"/>
      <c r="K12" s="34"/>
      <c r="L12" s="34">
        <v>12000</v>
      </c>
      <c r="M12" s="34"/>
    </row>
    <row r="13" spans="2:13" ht="29.25" customHeight="1" x14ac:dyDescent="0.25">
      <c r="B13" s="34">
        <v>9</v>
      </c>
      <c r="C13" s="34">
        <v>61012</v>
      </c>
      <c r="D13" s="34" t="s">
        <v>39</v>
      </c>
      <c r="E13" s="34" t="s">
        <v>39</v>
      </c>
      <c r="F13" s="34" t="s">
        <v>64</v>
      </c>
      <c r="G13" s="34">
        <v>36000</v>
      </c>
      <c r="H13" s="34"/>
      <c r="I13" s="34"/>
      <c r="J13" s="34"/>
      <c r="K13" s="34"/>
      <c r="L13" s="34">
        <v>36000</v>
      </c>
      <c r="M13" s="34"/>
    </row>
    <row r="14" spans="2:13" ht="30.75" customHeight="1" x14ac:dyDescent="0.25">
      <c r="B14" s="34">
        <v>10</v>
      </c>
      <c r="C14" s="34">
        <v>61012</v>
      </c>
      <c r="D14" s="34" t="s">
        <v>39</v>
      </c>
      <c r="E14" s="34" t="s">
        <v>39</v>
      </c>
      <c r="F14" s="34" t="s">
        <v>64</v>
      </c>
      <c r="G14" s="34">
        <v>12000</v>
      </c>
      <c r="H14" s="34"/>
      <c r="I14" s="34"/>
      <c r="J14" s="34"/>
      <c r="K14" s="34"/>
      <c r="L14" s="34">
        <v>12000</v>
      </c>
      <c r="M14" s="34"/>
    </row>
    <row r="15" spans="2:13" ht="30" customHeight="1" x14ac:dyDescent="0.25">
      <c r="B15" s="34">
        <v>11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</row>
    <row r="16" spans="2:13" ht="30.75" customHeight="1" x14ac:dyDescent="0.25">
      <c r="B16" s="34">
        <v>12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</row>
    <row r="17" spans="2:13" ht="29.25" customHeight="1" x14ac:dyDescent="0.25">
      <c r="B17" s="34">
        <v>13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</row>
    <row r="18" spans="2:13" ht="28.5" customHeight="1" x14ac:dyDescent="0.25">
      <c r="B18" s="34">
        <v>14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</row>
    <row r="19" spans="2:13" ht="29.25" customHeight="1" x14ac:dyDescent="0.25"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</row>
    <row r="20" spans="2:13" ht="30.75" customHeight="1" x14ac:dyDescent="0.25"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</row>
    <row r="21" spans="2:13" ht="28.5" customHeight="1" x14ac:dyDescent="0.25"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</row>
    <row r="22" spans="2:13" ht="29.25" customHeight="1" x14ac:dyDescent="0.25"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</row>
    <row r="23" spans="2:13" ht="29.25" customHeight="1" x14ac:dyDescent="0.25">
      <c r="B23" s="34" t="s">
        <v>9</v>
      </c>
      <c r="C23" s="36"/>
      <c r="D23" s="36"/>
      <c r="E23" s="36"/>
      <c r="F23" s="36"/>
      <c r="G23" s="34">
        <f>G5+G6+G7+G8+G9+G10+G11+G12+G13+G14</f>
        <v>120600</v>
      </c>
      <c r="H23" s="34">
        <f t="shared" ref="H23:L23" si="0">H5+H6+H7+H8+H9+H10+H11+H12+H13+H14</f>
        <v>0</v>
      </c>
      <c r="I23" s="34">
        <f t="shared" si="0"/>
        <v>0</v>
      </c>
      <c r="J23" s="34">
        <f t="shared" si="0"/>
        <v>0</v>
      </c>
      <c r="K23" s="34">
        <f t="shared" si="0"/>
        <v>0</v>
      </c>
      <c r="L23" s="34">
        <f t="shared" si="0"/>
        <v>120600</v>
      </c>
      <c r="M23" s="36"/>
    </row>
  </sheetData>
  <pageMargins left="0.7" right="0.7" top="0.75" bottom="0.75" header="0.3" footer="0.3"/>
  <pageSetup paperSize="9" scale="47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C5:I14"/>
  <sheetViews>
    <sheetView workbookViewId="0">
      <selection activeCell="B6" sqref="B6"/>
    </sheetView>
  </sheetViews>
  <sheetFormatPr baseColWidth="10" defaultRowHeight="15" x14ac:dyDescent="0.25"/>
  <cols>
    <col min="5" max="5" width="24.85546875" customWidth="1"/>
    <col min="6" max="6" width="19" customWidth="1"/>
    <col min="7" max="7" width="21.28515625" customWidth="1"/>
    <col min="8" max="8" width="27.7109375" customWidth="1"/>
    <col min="9" max="9" width="29" customWidth="1"/>
  </cols>
  <sheetData>
    <row r="5" spans="3:9" ht="30" customHeight="1" x14ac:dyDescent="0.25">
      <c r="E5" s="20" t="s">
        <v>21</v>
      </c>
      <c r="F5" s="20" t="s">
        <v>22</v>
      </c>
      <c r="G5" s="20" t="s">
        <v>23</v>
      </c>
      <c r="H5" s="20" t="s">
        <v>24</v>
      </c>
      <c r="I5" s="20" t="s">
        <v>25</v>
      </c>
    </row>
    <row r="6" spans="3:9" ht="31.5" customHeight="1" x14ac:dyDescent="0.25">
      <c r="E6" s="27">
        <v>45321</v>
      </c>
      <c r="F6" s="26">
        <v>120000</v>
      </c>
      <c r="G6" s="27">
        <v>45321</v>
      </c>
      <c r="H6" s="19" t="s">
        <v>72</v>
      </c>
      <c r="I6" s="1"/>
    </row>
    <row r="7" spans="3:9" ht="29.25" customHeight="1" x14ac:dyDescent="0.25">
      <c r="C7" s="25"/>
      <c r="E7" s="21">
        <v>45335</v>
      </c>
      <c r="F7" s="22">
        <v>2000000</v>
      </c>
      <c r="G7" s="21">
        <v>45358</v>
      </c>
      <c r="H7" s="19" t="s">
        <v>69</v>
      </c>
      <c r="I7" s="13"/>
    </row>
    <row r="8" spans="3:9" ht="30.75" customHeight="1" x14ac:dyDescent="0.25">
      <c r="E8" s="21">
        <v>45387</v>
      </c>
      <c r="F8" s="22" t="s">
        <v>70</v>
      </c>
      <c r="G8" s="21">
        <v>45415</v>
      </c>
      <c r="H8" s="19" t="s">
        <v>71</v>
      </c>
      <c r="I8" s="19"/>
    </row>
    <row r="9" spans="3:9" ht="29.25" customHeight="1" x14ac:dyDescent="0.25">
      <c r="E9" s="21">
        <v>45426</v>
      </c>
      <c r="F9" s="22">
        <v>1500000</v>
      </c>
      <c r="G9" s="21">
        <v>45426</v>
      </c>
      <c r="H9" s="19" t="s">
        <v>87</v>
      </c>
      <c r="I9" s="19"/>
    </row>
    <row r="10" spans="3:9" ht="30" customHeight="1" x14ac:dyDescent="0.25">
      <c r="E10" s="19"/>
      <c r="F10" s="19"/>
      <c r="G10" s="19"/>
      <c r="H10" s="19"/>
      <c r="I10" s="19"/>
    </row>
    <row r="11" spans="3:9" ht="33" customHeight="1" x14ac:dyDescent="0.25">
      <c r="E11" s="19" t="s">
        <v>9</v>
      </c>
      <c r="F11" s="22">
        <v>4070000</v>
      </c>
    </row>
    <row r="12" spans="3:9" ht="18.75" x14ac:dyDescent="0.3">
      <c r="I12" s="29" t="s">
        <v>89</v>
      </c>
    </row>
    <row r="14" spans="3:9" ht="18.75" x14ac:dyDescent="0.3">
      <c r="E14" s="29" t="s">
        <v>88</v>
      </c>
      <c r="F14" s="29">
        <v>4096874.39</v>
      </c>
      <c r="G14" s="31" t="s">
        <v>91</v>
      </c>
      <c r="H14" s="29" t="s">
        <v>90</v>
      </c>
      <c r="I14" s="32">
        <v>8166874.3899999997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"/>
  <sheetViews>
    <sheetView topLeftCell="A2" workbookViewId="0">
      <selection activeCell="I25" sqref="I24:I25"/>
    </sheetView>
  </sheetViews>
  <sheetFormatPr baseColWidth="10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C4:G31"/>
  <sheetViews>
    <sheetView tabSelected="1" topLeftCell="A11" workbookViewId="0">
      <selection activeCell="G18" sqref="G18"/>
    </sheetView>
  </sheetViews>
  <sheetFormatPr baseColWidth="10" defaultRowHeight="15" x14ac:dyDescent="0.25"/>
  <cols>
    <col min="4" max="4" width="20.28515625" customWidth="1"/>
    <col min="5" max="5" width="19.42578125" customWidth="1"/>
  </cols>
  <sheetData>
    <row r="4" spans="4:5" ht="21" x14ac:dyDescent="0.35">
      <c r="D4" s="37" t="s">
        <v>92</v>
      </c>
      <c r="E4" s="38" t="s">
        <v>93</v>
      </c>
    </row>
    <row r="5" spans="4:5" x14ac:dyDescent="0.25">
      <c r="D5" s="12">
        <v>35</v>
      </c>
      <c r="E5" s="40">
        <v>34.799999999999997</v>
      </c>
    </row>
    <row r="6" spans="4:5" x14ac:dyDescent="0.25">
      <c r="D6" s="12">
        <v>10</v>
      </c>
      <c r="E6" s="40">
        <v>34.799999999999997</v>
      </c>
    </row>
    <row r="7" spans="4:5" x14ac:dyDescent="0.25">
      <c r="D7" s="12">
        <v>10</v>
      </c>
      <c r="E7" s="41">
        <v>580</v>
      </c>
    </row>
    <row r="8" spans="4:5" x14ac:dyDescent="0.25">
      <c r="D8" s="12">
        <v>35</v>
      </c>
      <c r="E8" s="40">
        <v>34.799999999999997</v>
      </c>
    </row>
    <row r="9" spans="4:5" x14ac:dyDescent="0.25">
      <c r="D9" s="12">
        <v>100</v>
      </c>
      <c r="E9" s="12">
        <v>69.16</v>
      </c>
    </row>
    <row r="10" spans="4:5" x14ac:dyDescent="0.25">
      <c r="D10" s="12">
        <v>100</v>
      </c>
      <c r="E10" s="41">
        <v>580</v>
      </c>
    </row>
    <row r="11" spans="4:5" x14ac:dyDescent="0.25">
      <c r="D11" s="12">
        <v>100</v>
      </c>
      <c r="E11" s="40">
        <v>34.799999999999997</v>
      </c>
    </row>
    <row r="12" spans="4:5" x14ac:dyDescent="0.25">
      <c r="D12" s="12">
        <v>100</v>
      </c>
      <c r="E12" s="41">
        <v>580</v>
      </c>
    </row>
    <row r="13" spans="4:5" x14ac:dyDescent="0.25">
      <c r="D13" s="12">
        <v>200</v>
      </c>
      <c r="E13" s="40">
        <v>34.799999999999997</v>
      </c>
    </row>
    <row r="14" spans="4:5" x14ac:dyDescent="0.25">
      <c r="D14" s="12">
        <v>10</v>
      </c>
      <c r="E14" s="41">
        <v>580</v>
      </c>
    </row>
    <row r="15" spans="4:5" x14ac:dyDescent="0.25">
      <c r="D15" s="12">
        <v>35</v>
      </c>
      <c r="E15" s="42">
        <v>34.799999999999997</v>
      </c>
    </row>
    <row r="16" spans="4:5" x14ac:dyDescent="0.25">
      <c r="D16" s="12">
        <v>100</v>
      </c>
      <c r="E16" s="12"/>
    </row>
    <row r="17" spans="3:7" x14ac:dyDescent="0.25">
      <c r="D17" s="12">
        <v>10</v>
      </c>
      <c r="E17" s="12"/>
    </row>
    <row r="18" spans="3:7" x14ac:dyDescent="0.25">
      <c r="D18" s="12">
        <v>10</v>
      </c>
      <c r="E18" s="12"/>
    </row>
    <row r="19" spans="3:7" x14ac:dyDescent="0.25">
      <c r="D19" s="12">
        <v>10</v>
      </c>
      <c r="E19" s="12"/>
    </row>
    <row r="20" spans="3:7" x14ac:dyDescent="0.25">
      <c r="D20" s="12">
        <v>100</v>
      </c>
      <c r="E20" s="12"/>
    </row>
    <row r="21" spans="3:7" x14ac:dyDescent="0.25">
      <c r="D21" s="39">
        <v>35</v>
      </c>
      <c r="E21" s="1"/>
    </row>
    <row r="22" spans="3:7" x14ac:dyDescent="0.25">
      <c r="D22" s="4">
        <v>10</v>
      </c>
      <c r="E22" s="1"/>
    </row>
    <row r="23" spans="3:7" x14ac:dyDescent="0.25">
      <c r="D23" s="1"/>
      <c r="E23" s="1"/>
    </row>
    <row r="24" spans="3:7" x14ac:dyDescent="0.25">
      <c r="D24" s="1"/>
      <c r="E24" s="1"/>
    </row>
    <row r="25" spans="3:7" ht="18.75" x14ac:dyDescent="0.25">
      <c r="C25" s="19" t="s">
        <v>9</v>
      </c>
      <c r="D25" s="23">
        <f>D5+D6+D7+D8+D9+D10+D11+D12+D13+D14+D15+D16+D17+D18+D19+D20+D21+D22+D23+D24</f>
        <v>1010</v>
      </c>
      <c r="E25" s="23">
        <f>E5+E6+E7+E8+E9+E10+E11+E12+E13+E14+E15+E16+E17+E18+E19+E20+E21+E22+E23+E24</f>
        <v>2597.96</v>
      </c>
    </row>
    <row r="29" spans="3:7" ht="21" x14ac:dyDescent="0.35">
      <c r="D29" s="37" t="s">
        <v>92</v>
      </c>
      <c r="E29" s="23">
        <v>1010</v>
      </c>
      <c r="G29" s="38"/>
    </row>
    <row r="30" spans="3:7" ht="18.75" x14ac:dyDescent="0.3">
      <c r="D30" s="38" t="s">
        <v>93</v>
      </c>
      <c r="E30" s="23">
        <v>2597.96</v>
      </c>
    </row>
    <row r="31" spans="3:7" ht="18.75" x14ac:dyDescent="0.25">
      <c r="D31" s="19" t="s">
        <v>9</v>
      </c>
      <c r="E31" s="19">
        <f>E29+E30</f>
        <v>3607.96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DRI</vt:lpstr>
      <vt:lpstr>ADEL BAGROU</vt:lpstr>
      <vt:lpstr>SIVANE</vt:lpstr>
      <vt:lpstr>EL MASGOULE</vt:lpstr>
      <vt:lpstr>Approvisionnements</vt:lpstr>
      <vt:lpstr>Titre de Recettes</vt:lpstr>
      <vt:lpstr>Charge Bancaire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2024-05-16T10:38:59Z</dcterms:modified>
</cp:coreProperties>
</file>