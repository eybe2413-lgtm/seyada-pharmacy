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Feuil1" sheetId="1" r:id="rId1"/>
  </sheets>
  <calcPr calcId="144525"/>
</workbook>
</file>

<file path=xl/calcChain.xml><?xml version="1.0" encoding="utf-8"?>
<calcChain xmlns="http://schemas.openxmlformats.org/spreadsheetml/2006/main">
  <c r="D21" i="1" l="1"/>
  <c r="F21" i="1"/>
  <c r="B21" i="1"/>
  <c r="G14" i="1"/>
  <c r="G15" i="1" s="1"/>
  <c r="G16" i="1" s="1"/>
  <c r="G21" i="1" l="1"/>
</calcChain>
</file>

<file path=xl/sharedStrings.xml><?xml version="1.0" encoding="utf-8"?>
<sst xmlns="http://schemas.openxmlformats.org/spreadsheetml/2006/main" count="25" uniqueCount="22">
  <si>
    <t>Republique Islamique de Mauritanie</t>
  </si>
  <si>
    <t xml:space="preserve">          Honneur-Fraternité-Justice</t>
  </si>
  <si>
    <t xml:space="preserve">Ministère des Finances
</t>
  </si>
  <si>
    <t>Direction Générale du Trésor et de la Comptabilité Publique</t>
  </si>
  <si>
    <t>BANQUES</t>
  </si>
  <si>
    <t>SOLDE SUR RELEVE</t>
  </si>
  <si>
    <t>CHEQUES A ENCAISSER</t>
  </si>
  <si>
    <t>Chéque non retire ou VRT Non Execute au 30/11/2024</t>
  </si>
  <si>
    <t>SOLDE</t>
  </si>
  <si>
    <t>Ch n°</t>
  </si>
  <si>
    <t>MONTANT</t>
  </si>
  <si>
    <t>N° de Chéque Ou  VRT</t>
  </si>
  <si>
    <t>TOTAL</t>
  </si>
  <si>
    <t>Total</t>
  </si>
  <si>
    <t>ETAT DE RAPPROCHEMENT BANCAIRE AU 31/12/2024</t>
  </si>
  <si>
    <t>Percepteur Adel Bagrou</t>
  </si>
  <si>
    <t>Adel bagrou le 31/12/2024</t>
  </si>
  <si>
    <t>CCP</t>
  </si>
  <si>
    <t>VRT N° 48/2024</t>
  </si>
  <si>
    <t>CHB 2005281966</t>
  </si>
  <si>
    <t>CHB 2005281965</t>
  </si>
  <si>
    <t>Poste Comptable : PERCEPTION ADEL BAGROU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</si>
</sst>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2"/>
      <color theme="1"/>
      <name val="Baskerville Old Face"/>
      <family val="1"/>
    </font>
    <font>
      <b/>
      <sz val="14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Baskerville Old Face"/>
      <family val="1"/>
    </font>
    <font>
      <b/>
      <i/>
      <u/>
      <sz val="11"/>
      <color theme="1"/>
      <name val="Calibri"/>
      <family val="2"/>
      <scheme val="minor"/>
    </font>
    <font>
      <b/>
      <i/>
      <sz val="12"/>
      <name val="Arial"/>
      <family val="2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43" fontId="4" fillId="0" borderId="0" xfId="1" applyFont="1"/>
    <xf numFmtId="0" fontId="5" fillId="0" borderId="0" xfId="0" applyFont="1"/>
    <xf numFmtId="0" fontId="3" fillId="0" borderId="0" xfId="0" applyFont="1" applyAlignment="1"/>
    <xf numFmtId="0" fontId="7" fillId="0" borderId="0" xfId="0" applyFont="1" applyAlignment="1"/>
    <xf numFmtId="0" fontId="5" fillId="0" borderId="0" xfId="0" applyFont="1" applyFill="1" applyAlignment="1"/>
    <xf numFmtId="0" fontId="5" fillId="0" borderId="0" xfId="0" applyFont="1" applyAlignment="1"/>
    <xf numFmtId="0" fontId="7" fillId="0" borderId="0" xfId="0" applyFont="1"/>
    <xf numFmtId="0" fontId="5" fillId="0" borderId="0" xfId="0" applyFont="1" applyFill="1"/>
    <xf numFmtId="0" fontId="8" fillId="0" borderId="0" xfId="0" applyFont="1"/>
    <xf numFmtId="0" fontId="9" fillId="0" borderId="0" xfId="0" applyFont="1"/>
    <xf numFmtId="43" fontId="0" fillId="0" borderId="0" xfId="1" applyFont="1"/>
    <xf numFmtId="43" fontId="0" fillId="0" borderId="0" xfId="0" applyNumberFormat="1"/>
    <xf numFmtId="3" fontId="11" fillId="0" borderId="0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3" fontId="14" fillId="0" borderId="6" xfId="0" applyNumberFormat="1" applyFont="1" applyBorder="1" applyAlignment="1">
      <alignment horizontal="center" vertical="center"/>
    </xf>
    <xf numFmtId="43" fontId="14" fillId="0" borderId="6" xfId="0" applyNumberFormat="1" applyFont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/>
    </xf>
    <xf numFmtId="43" fontId="14" fillId="0" borderId="7" xfId="0" applyNumberFormat="1" applyFont="1" applyBorder="1" applyAlignment="1">
      <alignment horizontal="center" vertical="center"/>
    </xf>
    <xf numFmtId="43" fontId="14" fillId="0" borderId="7" xfId="0" applyNumberFormat="1" applyFont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/>
    </xf>
    <xf numFmtId="43" fontId="14" fillId="0" borderId="8" xfId="0" applyNumberFormat="1" applyFont="1" applyBorder="1" applyAlignment="1">
      <alignment horizontal="center" vertical="center"/>
    </xf>
    <xf numFmtId="43" fontId="14" fillId="0" borderId="8" xfId="0" applyNumberFormat="1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43" fontId="15" fillId="3" borderId="9" xfId="2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43" fontId="16" fillId="3" borderId="9" xfId="2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43" fontId="16" fillId="3" borderId="9" xfId="0" applyNumberFormat="1" applyFont="1" applyFill="1" applyBorder="1" applyAlignment="1">
      <alignment horizontal="center" vertical="center"/>
    </xf>
    <xf numFmtId="0" fontId="17" fillId="0" borderId="0" xfId="0" applyFont="1"/>
    <xf numFmtId="43" fontId="1" fillId="0" borderId="0" xfId="3" applyFont="1"/>
    <xf numFmtId="0" fontId="18" fillId="0" borderId="0" xfId="0" applyFont="1" applyAlignment="1"/>
    <xf numFmtId="43" fontId="8" fillId="0" borderId="0" xfId="3" applyFont="1"/>
    <xf numFmtId="43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10" fillId="0" borderId="0" xfId="0" applyFont="1" applyFill="1" applyBorder="1" applyAlignment="1">
      <alignment horizontal="center" vertical="center"/>
    </xf>
    <xf numFmtId="3" fontId="11" fillId="2" borderId="0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43" fontId="2" fillId="3" borderId="1" xfId="2" applyFont="1" applyFill="1" applyBorder="1" applyAlignment="1">
      <alignment horizontal="center" vertical="center" wrapText="1"/>
    </xf>
    <xf numFmtId="43" fontId="2" fillId="3" borderId="4" xfId="2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4">
    <cellStyle name="Milliers" xfId="1" builtinId="3"/>
    <cellStyle name="Milliers 2 10" xfId="3"/>
    <cellStyle name="Milliers 4" xfId="2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topLeftCell="A4" workbookViewId="0">
      <selection sqref="A1:H30"/>
    </sheetView>
  </sheetViews>
  <sheetFormatPr baseColWidth="10" defaultColWidth="9.140625" defaultRowHeight="15" x14ac:dyDescent="0.25"/>
  <cols>
    <col min="2" max="2" width="16.28515625" customWidth="1"/>
    <col min="3" max="3" width="16" customWidth="1"/>
    <col min="4" max="4" width="16.85546875" customWidth="1"/>
    <col min="5" max="5" width="28.42578125" customWidth="1"/>
    <col min="6" max="6" width="17.140625" customWidth="1"/>
    <col min="7" max="8" width="16.140625" customWidth="1"/>
  </cols>
  <sheetData>
    <row r="1" spans="1:7" ht="18.75" x14ac:dyDescent="0.3">
      <c r="A1" s="1" t="s">
        <v>0</v>
      </c>
      <c r="B1" s="2"/>
      <c r="C1" s="3"/>
      <c r="D1" s="4"/>
      <c r="E1" s="4"/>
      <c r="F1" s="38" t="s">
        <v>1</v>
      </c>
      <c r="G1" s="38"/>
    </row>
    <row r="2" spans="1:7" ht="18.75" x14ac:dyDescent="0.3">
      <c r="A2" s="5" t="s">
        <v>2</v>
      </c>
      <c r="B2" s="6"/>
      <c r="C2" s="6"/>
      <c r="D2" s="6"/>
      <c r="E2" s="7"/>
      <c r="F2" s="8"/>
      <c r="G2" s="8"/>
    </row>
    <row r="3" spans="1:7" ht="18.75" x14ac:dyDescent="0.3">
      <c r="A3" s="1" t="s">
        <v>3</v>
      </c>
      <c r="B3" s="9"/>
      <c r="C3" s="9"/>
      <c r="D3" s="9"/>
      <c r="E3" s="10"/>
      <c r="F3" s="4"/>
      <c r="G3" s="4"/>
    </row>
    <row r="4" spans="1:7" ht="18.75" x14ac:dyDescent="0.3">
      <c r="A4" s="1" t="s">
        <v>15</v>
      </c>
      <c r="B4" s="9"/>
      <c r="C4" s="9"/>
      <c r="D4" s="9"/>
      <c r="E4" s="10"/>
      <c r="F4" s="4"/>
      <c r="G4" s="4"/>
    </row>
    <row r="5" spans="1:7" ht="15.75" x14ac:dyDescent="0.25">
      <c r="A5" s="11"/>
      <c r="B5" s="12"/>
      <c r="C5" s="12"/>
      <c r="D5" s="13"/>
      <c r="F5" s="14"/>
    </row>
    <row r="6" spans="1:7" ht="15.75" x14ac:dyDescent="0.25">
      <c r="A6" s="11" t="s">
        <v>21</v>
      </c>
      <c r="B6" s="12"/>
      <c r="C6" s="12"/>
    </row>
    <row r="7" spans="1:7" ht="15.75" x14ac:dyDescent="0.25">
      <c r="A7" s="11"/>
      <c r="B7" s="12"/>
      <c r="C7" s="12"/>
    </row>
    <row r="8" spans="1:7" ht="15.75" x14ac:dyDescent="0.25">
      <c r="A8" s="11"/>
      <c r="B8" s="12"/>
      <c r="C8" s="12"/>
    </row>
    <row r="9" spans="1:7" x14ac:dyDescent="0.25">
      <c r="A9" s="39"/>
      <c r="B9" s="39"/>
      <c r="C9" s="39"/>
      <c r="D9" s="39"/>
      <c r="E9" s="39"/>
      <c r="F9" s="39"/>
      <c r="G9" s="39"/>
    </row>
    <row r="10" spans="1:7" x14ac:dyDescent="0.25">
      <c r="A10" s="40" t="s">
        <v>14</v>
      </c>
      <c r="B10" s="40"/>
      <c r="C10" s="40"/>
      <c r="D10" s="40"/>
      <c r="E10" s="40"/>
      <c r="F10" s="40"/>
      <c r="G10" s="40"/>
    </row>
    <row r="11" spans="1:7" ht="15.75" thickBot="1" x14ac:dyDescent="0.3">
      <c r="A11" s="15"/>
      <c r="B11" s="15"/>
      <c r="C11" s="15"/>
      <c r="D11" s="15"/>
      <c r="E11" s="15"/>
      <c r="F11" s="15"/>
      <c r="G11" s="15"/>
    </row>
    <row r="12" spans="1:7" ht="15" customHeight="1" x14ac:dyDescent="0.25">
      <c r="A12" s="41" t="s">
        <v>4</v>
      </c>
      <c r="B12" s="43" t="s">
        <v>5</v>
      </c>
      <c r="C12" s="45" t="s">
        <v>6</v>
      </c>
      <c r="D12" s="46"/>
      <c r="E12" s="45" t="s">
        <v>7</v>
      </c>
      <c r="F12" s="46"/>
      <c r="G12" s="41" t="s">
        <v>8</v>
      </c>
    </row>
    <row r="13" spans="1:7" ht="15.75" thickBot="1" x14ac:dyDescent="0.3">
      <c r="A13" s="42"/>
      <c r="B13" s="44"/>
      <c r="C13" s="16" t="s">
        <v>9</v>
      </c>
      <c r="D13" s="16" t="s">
        <v>10</v>
      </c>
      <c r="E13" s="16" t="s">
        <v>11</v>
      </c>
      <c r="F13" s="16" t="s">
        <v>10</v>
      </c>
      <c r="G13" s="42"/>
    </row>
    <row r="14" spans="1:7" x14ac:dyDescent="0.25">
      <c r="A14" s="17" t="s">
        <v>17</v>
      </c>
      <c r="B14" s="18">
        <v>779468.58</v>
      </c>
      <c r="C14" s="18"/>
      <c r="D14" s="18"/>
      <c r="E14" s="19" t="s">
        <v>18</v>
      </c>
      <c r="F14" s="18">
        <v>47530</v>
      </c>
      <c r="G14" s="18">
        <f>B14-F14-D14</f>
        <v>731938.58</v>
      </c>
    </row>
    <row r="15" spans="1:7" x14ac:dyDescent="0.25">
      <c r="A15" s="20"/>
      <c r="B15" s="21"/>
      <c r="C15" s="21"/>
      <c r="D15" s="21"/>
      <c r="E15" s="22" t="s">
        <v>20</v>
      </c>
      <c r="F15" s="21">
        <v>357000</v>
      </c>
      <c r="G15" s="21">
        <f>G14-F15</f>
        <v>374938.57999999996</v>
      </c>
    </row>
    <row r="16" spans="1:7" x14ac:dyDescent="0.25">
      <c r="A16" s="20"/>
      <c r="B16" s="21"/>
      <c r="C16" s="21"/>
      <c r="D16" s="21"/>
      <c r="E16" s="22" t="s">
        <v>19</v>
      </c>
      <c r="F16" s="21">
        <v>357000</v>
      </c>
      <c r="G16" s="21">
        <f t="shared" ref="G16" si="0">G15-F16</f>
        <v>17938.579999999958</v>
      </c>
    </row>
    <row r="17" spans="1:7" x14ac:dyDescent="0.25">
      <c r="A17" s="20"/>
      <c r="B17" s="21"/>
      <c r="C17" s="21"/>
      <c r="D17" s="21"/>
      <c r="E17" s="22"/>
      <c r="F17" s="21"/>
      <c r="G17" s="21"/>
    </row>
    <row r="18" spans="1:7" x14ac:dyDescent="0.25">
      <c r="A18" s="20"/>
      <c r="B18" s="21"/>
      <c r="C18" s="21"/>
      <c r="D18" s="21"/>
      <c r="E18" s="22"/>
      <c r="F18" s="21"/>
      <c r="G18" s="21"/>
    </row>
    <row r="19" spans="1:7" x14ac:dyDescent="0.25">
      <c r="A19" s="20"/>
      <c r="B19" s="21"/>
      <c r="C19" s="21"/>
      <c r="D19" s="21"/>
      <c r="E19" s="22"/>
      <c r="F19" s="21"/>
      <c r="G19" s="21"/>
    </row>
    <row r="20" spans="1:7" ht="15.75" thickBot="1" x14ac:dyDescent="0.3">
      <c r="A20" s="23"/>
      <c r="B20" s="24"/>
      <c r="C20" s="24"/>
      <c r="D20" s="24"/>
      <c r="E20" s="25"/>
      <c r="F20" s="24"/>
      <c r="G20" s="24"/>
    </row>
    <row r="21" spans="1:7" ht="15.75" thickBot="1" x14ac:dyDescent="0.3">
      <c r="A21" s="26" t="s">
        <v>12</v>
      </c>
      <c r="B21" s="27">
        <f>SUM(B14)</f>
        <v>779468.58</v>
      </c>
      <c r="C21" s="28" t="s">
        <v>13</v>
      </c>
      <c r="D21" s="29">
        <f>SUM(D14)</f>
        <v>0</v>
      </c>
      <c r="E21" s="30" t="s">
        <v>13</v>
      </c>
      <c r="F21" s="31">
        <f>SUM(F14:F20)</f>
        <v>761530</v>
      </c>
      <c r="G21" s="29">
        <f>B21-F21</f>
        <v>17938.579999999958</v>
      </c>
    </row>
    <row r="23" spans="1:7" x14ac:dyDescent="0.25">
      <c r="F23" s="14"/>
    </row>
    <row r="24" spans="1:7" x14ac:dyDescent="0.25">
      <c r="A24" s="32"/>
      <c r="B24" s="32"/>
      <c r="C24" s="32"/>
      <c r="D24" s="32"/>
      <c r="E24" s="32"/>
      <c r="F24" s="36" t="s">
        <v>16</v>
      </c>
      <c r="G24" s="36"/>
    </row>
    <row r="25" spans="1:7" x14ac:dyDescent="0.25">
      <c r="D25" s="33"/>
    </row>
    <row r="26" spans="1:7" ht="15.75" x14ac:dyDescent="0.25">
      <c r="A26" s="34"/>
      <c r="B26" s="11"/>
      <c r="C26" s="11"/>
      <c r="D26" s="35"/>
      <c r="E26" s="11"/>
      <c r="F26" s="37" t="s">
        <v>15</v>
      </c>
      <c r="G26" s="37"/>
    </row>
  </sheetData>
  <mergeCells count="10">
    <mergeCell ref="F24:G24"/>
    <mergeCell ref="F26:G26"/>
    <mergeCell ref="F1:G1"/>
    <mergeCell ref="A9:G9"/>
    <mergeCell ref="A10:G10"/>
    <mergeCell ref="A12:A13"/>
    <mergeCell ref="B12:B13"/>
    <mergeCell ref="C12:D12"/>
    <mergeCell ref="E12:F12"/>
    <mergeCell ref="G12:G13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2025-01-06T19:23:51Z</dcterms:modified>
</cp:coreProperties>
</file>