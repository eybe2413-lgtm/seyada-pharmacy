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44525"/>
</workbook>
</file>

<file path=xl/calcChain.xml><?xml version="1.0" encoding="utf-8"?>
<calcChain xmlns="http://schemas.openxmlformats.org/spreadsheetml/2006/main">
  <c r="E9" i="1" l="1"/>
  <c r="E7" i="1"/>
  <c r="E6" i="1"/>
  <c r="I15" i="1" l="1"/>
  <c r="J15" i="1" s="1"/>
  <c r="J13" i="1"/>
  <c r="K13" i="1" s="1"/>
  <c r="K15" i="1" s="1"/>
  <c r="J14" i="1"/>
  <c r="K14" i="1" s="1"/>
</calcChain>
</file>

<file path=xl/sharedStrings.xml><?xml version="1.0" encoding="utf-8"?>
<sst xmlns="http://schemas.openxmlformats.org/spreadsheetml/2006/main" count="8" uniqueCount="8">
  <si>
    <t>Montant</t>
  </si>
  <si>
    <t>IMF</t>
  </si>
  <si>
    <t>Net a Payer</t>
  </si>
  <si>
    <t>Total</t>
  </si>
  <si>
    <t>Mandat Impt</t>
  </si>
  <si>
    <t>2.2.02.3</t>
  </si>
  <si>
    <t>Sept cent soixante mille deux cent quatre vingt quinze</t>
  </si>
  <si>
    <t>2.3.02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</si>
</sst>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17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8" max="8" width="17.28515625" customWidth="1"/>
    <col min="9" max="9" width="15.85546875" customWidth="1"/>
    <col min="10" max="10" width="13.85546875" customWidth="1"/>
    <col min="11" max="11" width="15.42578125" customWidth="1"/>
  </cols>
  <sheetData>
    <row r="6" spans="2:11" x14ac:dyDescent="0.25">
      <c r="B6">
        <v>700000</v>
      </c>
      <c r="C6">
        <v>18103.45</v>
      </c>
      <c r="E6">
        <f>B6-C6</f>
        <v>681896.55</v>
      </c>
    </row>
    <row r="7" spans="2:11" x14ac:dyDescent="0.25">
      <c r="B7">
        <v>80480</v>
      </c>
      <c r="C7">
        <v>2081.38</v>
      </c>
      <c r="E7">
        <f>B7-C7</f>
        <v>78398.62</v>
      </c>
    </row>
    <row r="9" spans="2:11" x14ac:dyDescent="0.25">
      <c r="E9">
        <f>E6+E7</f>
        <v>760295.17</v>
      </c>
    </row>
    <row r="12" spans="2:11" ht="29.25" customHeight="1" x14ac:dyDescent="0.25">
      <c r="E12" s="2"/>
      <c r="H12" s="3" t="s">
        <v>4</v>
      </c>
      <c r="I12" s="3" t="s">
        <v>0</v>
      </c>
      <c r="J12" s="3" t="s">
        <v>1</v>
      </c>
      <c r="K12" s="3" t="s">
        <v>2</v>
      </c>
    </row>
    <row r="13" spans="2:11" ht="29.25" customHeight="1" x14ac:dyDescent="0.25">
      <c r="H13" s="1" t="s">
        <v>5</v>
      </c>
      <c r="I13" s="1">
        <v>700000</v>
      </c>
      <c r="J13" s="1">
        <f>I13/1.16*0.03</f>
        <v>18103.448275862069</v>
      </c>
      <c r="K13" s="1">
        <f>I13-J13</f>
        <v>681896.55172413797</v>
      </c>
    </row>
    <row r="14" spans="2:11" ht="30.75" customHeight="1" x14ac:dyDescent="0.25">
      <c r="H14" s="1" t="s">
        <v>7</v>
      </c>
      <c r="I14" s="1">
        <v>80480</v>
      </c>
      <c r="J14" s="1">
        <f>I14/1.16*0.03</f>
        <v>2081.3793103448279</v>
      </c>
      <c r="K14" s="1">
        <f>I14-J14</f>
        <v>78398.620689655174</v>
      </c>
    </row>
    <row r="15" spans="2:11" ht="30" customHeight="1" x14ac:dyDescent="0.25">
      <c r="H15" s="1" t="s">
        <v>3</v>
      </c>
      <c r="I15" s="1">
        <f>I13+I14</f>
        <v>780480</v>
      </c>
      <c r="J15" s="1">
        <f>I15/1.16*0.03</f>
        <v>20184.827586206895</v>
      </c>
      <c r="K15" s="1">
        <f>K13+K14</f>
        <v>760295.17241379316</v>
      </c>
    </row>
    <row r="17" spans="8:11" ht="28.5" customHeight="1" x14ac:dyDescent="0.25">
      <c r="H17" s="4" t="s">
        <v>6</v>
      </c>
      <c r="I17" s="4"/>
      <c r="J17" s="4"/>
      <c r="K17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2023-08-24T18:09:06Z</dcterms:modified>
</cp:coreProperties>
</file>