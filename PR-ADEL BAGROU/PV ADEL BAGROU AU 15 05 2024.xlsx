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Republic Of Computer\Desktop\"/>
    </mc:Choice>
  </mc:AlternateContent>
  <bookViews>
    <workbookView xWindow="0" yWindow="0" windowWidth="19200" windowHeight="6900" tabRatio="819" firstSheet="10" activeTab="11"/>
  </bookViews>
  <sheets>
    <sheet name="PG" sheetId="321" r:id="rId1"/>
    <sheet name="DEPUILLEMENT " sheetId="389" r:id="rId2"/>
    <sheet name="PRECOMPTES" sheetId="127" r:id="rId3"/>
    <sheet name="CNAM-CNSS" sheetId="468" r:id="rId4"/>
    <sheet name="MODE REGL" sheetId="471" r:id="rId5"/>
    <sheet name="P V " sheetId="76" r:id="rId6"/>
    <sheet name="SIT APPR" sheetId="383" r:id="rId7"/>
    <sheet name="RECETTES  QUITT " sheetId="31" r:id="rId8"/>
    <sheet name="DEG FONDS" sheetId="2" r:id="rId9"/>
    <sheet name="ANNULLEE" sheetId="78" r:id="rId10"/>
    <sheet name="DEPEN NOTIF DRI" sheetId="51" r:id="rId11"/>
    <sheet name="DEP ADEL BAGROU" sheetId="436" r:id="rId12"/>
    <sheet name=" RECETTE ADEL BAGROU" sheetId="352" r:id="rId13"/>
    <sheet name="DISP ADEL BAGROU" sheetId="434" r:id="rId14"/>
    <sheet name=" RECETTE El MASGOULE" sheetId="450" r:id="rId15"/>
    <sheet name="DEP El MASGOULE" sheetId="449" r:id="rId16"/>
    <sheet name="DISP El MASGOULE" sheetId="451" r:id="rId17"/>
    <sheet name=" RECETTE SEIVANE" sheetId="465" r:id="rId18"/>
    <sheet name="DEP SEIVANE" sheetId="464" r:id="rId19"/>
    <sheet name="DISP SEIVANE" sheetId="466" r:id="rId20"/>
    <sheet name="REJETS" sheetId="403" r:id="rId21"/>
    <sheet name="FRAIS BAN " sheetId="81" r:id="rId22"/>
    <sheet name="H CAISSE" sheetId="294" r:id="rId23"/>
    <sheet name="PENSIONS" sheetId="407" r:id="rId24"/>
    <sheet name="CAC ADEL BAGROU" sheetId="365" r:id="rId25"/>
    <sheet name="RAP AF GM" sheetId="463" r:id="rId26"/>
  </sheets>
  <definedNames>
    <definedName name="_xlnm._FilterDatabase" localSheetId="12" hidden="1">' RECETTE ADEL BAGROU'!$A$13:$E$18</definedName>
    <definedName name="_xlnm._FilterDatabase" localSheetId="14" hidden="1">' RECETTE El MASGOULE'!$A$12:$E$13</definedName>
    <definedName name="_xlnm._FilterDatabase" localSheetId="17" hidden="1">' RECETTE SEIVANE'!$A$13:$E$14</definedName>
    <definedName name="_xlnm._FilterDatabase" localSheetId="24" hidden="1">'CAC ADEL BAGROU'!$A$11:$D$11</definedName>
    <definedName name="_xlnm._FilterDatabase" localSheetId="3" hidden="1">'CNAM-CNSS'!$A$1:$D$13</definedName>
    <definedName name="_xlnm._FilterDatabase" localSheetId="11" hidden="1">'DEP ADEL BAGROU'!$A$8:$M$46</definedName>
    <definedName name="_xlnm._FilterDatabase" localSheetId="15" hidden="1">'DEP El MASGOULE'!$A$8:$M$21</definedName>
    <definedName name="_xlnm._FilterDatabase" localSheetId="18" hidden="1">'DEP SEIVANE'!$A$9:$M$21</definedName>
    <definedName name="_xlnm._FilterDatabase" localSheetId="10" hidden="1">'DEPEN NOTIF DRI'!$A$10:$F$50</definedName>
    <definedName name="_xlnm._FilterDatabase" localSheetId="1" hidden="1">'DEPUILLEMENT '!$A$11:$Q$60</definedName>
    <definedName name="_xlnm._FilterDatabase" localSheetId="21" hidden="1">'FRAIS BAN '!#REF!</definedName>
    <definedName name="_xlnm._FilterDatabase" localSheetId="4" hidden="1">'MODE REGL'!$A$1:$H$123</definedName>
    <definedName name="_xlnm._FilterDatabase" localSheetId="23" hidden="1">PENSIONS!$A$10:$D$10</definedName>
    <definedName name="a" localSheetId="12">#REF!</definedName>
    <definedName name="a" localSheetId="14">#REF!</definedName>
    <definedName name="a" localSheetId="17">#REF!</definedName>
    <definedName name="a" localSheetId="11">#REF!</definedName>
    <definedName name="a" localSheetId="15">#REF!</definedName>
    <definedName name="a" localSheetId="18">#REF!</definedName>
    <definedName name="a" localSheetId="1">#REF!</definedName>
    <definedName name="a" localSheetId="13">#REF!</definedName>
    <definedName name="a" localSheetId="16">#REF!</definedName>
    <definedName name="a" localSheetId="19">#REF!</definedName>
    <definedName name="a" localSheetId="23">#REF!</definedName>
    <definedName name="a" localSheetId="20">#REF!</definedName>
    <definedName name="a" localSheetId="6">#REF!</definedName>
    <definedName name="a">#REF!</definedName>
    <definedName name="aaa" localSheetId="11">#REF!</definedName>
    <definedName name="aaa" localSheetId="15">#REF!</definedName>
    <definedName name="aaa" localSheetId="18">#REF!</definedName>
    <definedName name="aaa" localSheetId="23">#REF!</definedName>
    <definedName name="aaa" localSheetId="20">#REF!</definedName>
    <definedName name="aaa">#REF!</definedName>
    <definedName name="aaaaaa" localSheetId="12">#REF!</definedName>
    <definedName name="aaaaaa" localSheetId="14">#REF!</definedName>
    <definedName name="aaaaaa" localSheetId="17">#REF!</definedName>
    <definedName name="aaaaaa" localSheetId="11">#REF!</definedName>
    <definedName name="aaaaaa" localSheetId="15">#REF!</definedName>
    <definedName name="aaaaaa" localSheetId="18">#REF!</definedName>
    <definedName name="aaaaaa" localSheetId="1">#REF!</definedName>
    <definedName name="aaaaaa" localSheetId="13">#REF!</definedName>
    <definedName name="aaaaaa" localSheetId="16">#REF!</definedName>
    <definedName name="aaaaaa" localSheetId="19">#REF!</definedName>
    <definedName name="aaaaaa" localSheetId="23">#REF!</definedName>
    <definedName name="aaaaaa" localSheetId="20">#REF!</definedName>
    <definedName name="aaaaaa" localSheetId="6">#REF!</definedName>
    <definedName name="aaaaaa">#REF!</definedName>
    <definedName name="AAAAAAAAAAA" localSheetId="12">#REF!</definedName>
    <definedName name="AAAAAAAAAAA" localSheetId="14">#REF!</definedName>
    <definedName name="AAAAAAAAAAA" localSheetId="17">#REF!</definedName>
    <definedName name="AAAAAAAAAAA" localSheetId="11">#REF!</definedName>
    <definedName name="AAAAAAAAAAA" localSheetId="15">#REF!</definedName>
    <definedName name="AAAAAAAAAAA" localSheetId="18">#REF!</definedName>
    <definedName name="AAAAAAAAAAA" localSheetId="1">#REF!</definedName>
    <definedName name="AAAAAAAAAAA" localSheetId="13">#REF!</definedName>
    <definedName name="AAAAAAAAAAA" localSheetId="16">#REF!</definedName>
    <definedName name="AAAAAAAAAAA" localSheetId="19">#REF!</definedName>
    <definedName name="AAAAAAAAAAA" localSheetId="23">#REF!</definedName>
    <definedName name="AAAAAAAAAAA" localSheetId="20">#REF!</definedName>
    <definedName name="AAAAAAAAAAA" localSheetId="6">#REF!</definedName>
    <definedName name="AAAAAAAAAAA">#REF!</definedName>
    <definedName name="bb" localSheetId="12">#REF!</definedName>
    <definedName name="bb" localSheetId="14">#REF!</definedName>
    <definedName name="bb" localSheetId="17">#REF!</definedName>
    <definedName name="bb" localSheetId="11">#REF!</definedName>
    <definedName name="bb" localSheetId="15">#REF!</definedName>
    <definedName name="bb" localSheetId="18">#REF!</definedName>
    <definedName name="bb" localSheetId="1">#REF!</definedName>
    <definedName name="bb" localSheetId="13">#REF!</definedName>
    <definedName name="bb" localSheetId="16">#REF!</definedName>
    <definedName name="bb" localSheetId="19">#REF!</definedName>
    <definedName name="bb" localSheetId="23">#REF!</definedName>
    <definedName name="bb" localSheetId="20">#REF!</definedName>
    <definedName name="bb" localSheetId="6">#REF!</definedName>
    <definedName name="bb">#REF!</definedName>
    <definedName name="BBB" localSheetId="12">#REF!</definedName>
    <definedName name="BBB" localSheetId="14">#REF!</definedName>
    <definedName name="BBB" localSheetId="17">#REF!</definedName>
    <definedName name="BBB" localSheetId="11">#REF!</definedName>
    <definedName name="BBB" localSheetId="15">#REF!</definedName>
    <definedName name="BBB" localSheetId="18">#REF!</definedName>
    <definedName name="BBB" localSheetId="1">#REF!</definedName>
    <definedName name="BBB" localSheetId="13">#REF!</definedName>
    <definedName name="BBB" localSheetId="16">#REF!</definedName>
    <definedName name="BBB" localSheetId="19">#REF!</definedName>
    <definedName name="BBB" localSheetId="23">#REF!</definedName>
    <definedName name="BBB" localSheetId="20">#REF!</definedName>
    <definedName name="BBB" localSheetId="6">#REF!</definedName>
    <definedName name="BBB">#REF!</definedName>
    <definedName name="bbbb" localSheetId="12">#REF!</definedName>
    <definedName name="bbbb" localSheetId="14">#REF!</definedName>
    <definedName name="bbbb" localSheetId="17">#REF!</definedName>
    <definedName name="bbbb" localSheetId="11">#REF!</definedName>
    <definedName name="bbbb" localSheetId="15">#REF!</definedName>
    <definedName name="bbbb" localSheetId="18">#REF!</definedName>
    <definedName name="bbbb" localSheetId="1">#REF!</definedName>
    <definedName name="bbbb" localSheetId="13">#REF!</definedName>
    <definedName name="bbbb" localSheetId="16">#REF!</definedName>
    <definedName name="bbbb" localSheetId="19">#REF!</definedName>
    <definedName name="bbbb" localSheetId="23">#REF!</definedName>
    <definedName name="bbbb" localSheetId="20">#REF!</definedName>
    <definedName name="bbbb" localSheetId="6">#REF!</definedName>
    <definedName name="bbbb">#REF!</definedName>
    <definedName name="BBBBB" localSheetId="12">#REF!</definedName>
    <definedName name="BBBBB" localSheetId="14">#REF!</definedName>
    <definedName name="BBBBB" localSheetId="17">#REF!</definedName>
    <definedName name="BBBBB" localSheetId="11">#REF!</definedName>
    <definedName name="BBBBB" localSheetId="15">#REF!</definedName>
    <definedName name="BBBBB" localSheetId="18">#REF!</definedName>
    <definedName name="BBBBB" localSheetId="1">#REF!</definedName>
    <definedName name="BBBBB" localSheetId="13">#REF!</definedName>
    <definedName name="BBBBB" localSheetId="16">#REF!</definedName>
    <definedName name="BBBBB" localSheetId="19">#REF!</definedName>
    <definedName name="BBBBB" localSheetId="23">#REF!</definedName>
    <definedName name="BBBBB" localSheetId="20">#REF!</definedName>
    <definedName name="BBBBB" localSheetId="6">#REF!</definedName>
    <definedName name="BBBBB">#REF!</definedName>
    <definedName name="BBBBBB" localSheetId="12">#REF!</definedName>
    <definedName name="BBBBBB" localSheetId="14">#REF!</definedName>
    <definedName name="BBBBBB" localSheetId="17">#REF!</definedName>
    <definedName name="BBBBBB" localSheetId="11">#REF!</definedName>
    <definedName name="BBBBBB" localSheetId="15">#REF!</definedName>
    <definedName name="BBBBBB" localSheetId="18">#REF!</definedName>
    <definedName name="BBBBBB" localSheetId="1">#REF!</definedName>
    <definedName name="BBBBBB" localSheetId="13">#REF!</definedName>
    <definedName name="BBBBBB" localSheetId="16">#REF!</definedName>
    <definedName name="BBBBBB" localSheetId="19">#REF!</definedName>
    <definedName name="BBBBBB" localSheetId="23">#REF!</definedName>
    <definedName name="BBBBBB" localSheetId="20">#REF!</definedName>
    <definedName name="BBBBBB" localSheetId="6">#REF!</definedName>
    <definedName name="BBBBBB">#REF!</definedName>
    <definedName name="cccc" localSheetId="12">#REF!</definedName>
    <definedName name="cccc" localSheetId="14">#REF!</definedName>
    <definedName name="cccc" localSheetId="17">#REF!</definedName>
    <definedName name="cccc" localSheetId="11">#REF!</definedName>
    <definedName name="cccc" localSheetId="15">#REF!</definedName>
    <definedName name="cccc" localSheetId="18">#REF!</definedName>
    <definedName name="cccc" localSheetId="1">#REF!</definedName>
    <definedName name="cccc" localSheetId="13">#REF!</definedName>
    <definedName name="cccc" localSheetId="16">#REF!</definedName>
    <definedName name="cccc" localSheetId="19">#REF!</definedName>
    <definedName name="cccc" localSheetId="23">#REF!</definedName>
    <definedName name="cccc" localSheetId="20">#REF!</definedName>
    <definedName name="cccc" localSheetId="6">#REF!</definedName>
    <definedName name="cccc">#REF!</definedName>
    <definedName name="D" localSheetId="12">#REF!</definedName>
    <definedName name="D" localSheetId="14">#REF!</definedName>
    <definedName name="D" localSheetId="17">#REF!</definedName>
    <definedName name="D" localSheetId="11">#REF!</definedName>
    <definedName name="D" localSheetId="15">#REF!</definedName>
    <definedName name="D" localSheetId="18">#REF!</definedName>
    <definedName name="D" localSheetId="1">#REF!</definedName>
    <definedName name="D" localSheetId="13">#REF!</definedName>
    <definedName name="D" localSheetId="16">#REF!</definedName>
    <definedName name="D" localSheetId="19">#REF!</definedName>
    <definedName name="D" localSheetId="23">#REF!</definedName>
    <definedName name="D" localSheetId="20">#REF!</definedName>
    <definedName name="D">#REF!</definedName>
    <definedName name="DDD" localSheetId="12">#REF!</definedName>
    <definedName name="DDD" localSheetId="14">#REF!</definedName>
    <definedName name="DDD" localSheetId="17">#REF!</definedName>
    <definedName name="DDD" localSheetId="11">#REF!</definedName>
    <definedName name="DDD" localSheetId="15">#REF!</definedName>
    <definedName name="DDD" localSheetId="18">#REF!</definedName>
    <definedName name="DDD" localSheetId="1">#REF!</definedName>
    <definedName name="DDD" localSheetId="13">#REF!</definedName>
    <definedName name="DDD" localSheetId="16">#REF!</definedName>
    <definedName name="DDD" localSheetId="19">#REF!</definedName>
    <definedName name="DDD" localSheetId="23">#REF!</definedName>
    <definedName name="DDD" localSheetId="20">#REF!</definedName>
    <definedName name="DDD">#REF!</definedName>
    <definedName name="ddddd" localSheetId="12">#REF!</definedName>
    <definedName name="ddddd" localSheetId="14">#REF!</definedName>
    <definedName name="ddddd" localSheetId="17">#REF!</definedName>
    <definedName name="ddddd" localSheetId="11">#REF!</definedName>
    <definedName name="ddddd" localSheetId="15">#REF!</definedName>
    <definedName name="ddddd" localSheetId="18">#REF!</definedName>
    <definedName name="ddddd" localSheetId="1">#REF!</definedName>
    <definedName name="ddddd" localSheetId="13">#REF!</definedName>
    <definedName name="ddddd" localSheetId="16">#REF!</definedName>
    <definedName name="ddddd" localSheetId="19">#REF!</definedName>
    <definedName name="ddddd" localSheetId="23">#REF!</definedName>
    <definedName name="ddddd" localSheetId="20">#REF!</definedName>
    <definedName name="ddddd" localSheetId="6">#REF!</definedName>
    <definedName name="ddddd">#REF!</definedName>
    <definedName name="dddddddddd" localSheetId="11">#REF!</definedName>
    <definedName name="dddddddddd" localSheetId="15">#REF!</definedName>
    <definedName name="dddddddddd" localSheetId="18">#REF!</definedName>
    <definedName name="dddddddddd" localSheetId="23">#REF!</definedName>
    <definedName name="dddddddddd" localSheetId="20">#REF!</definedName>
    <definedName name="dddddddddd">#REF!</definedName>
    <definedName name="degagement" localSheetId="12">#REF!</definedName>
    <definedName name="degagement" localSheetId="14">#REF!</definedName>
    <definedName name="degagement" localSheetId="17">#REF!</definedName>
    <definedName name="degagement" localSheetId="11">#REF!</definedName>
    <definedName name="degagement" localSheetId="15">#REF!</definedName>
    <definedName name="degagement" localSheetId="18">#REF!</definedName>
    <definedName name="degagement" localSheetId="1">#REF!</definedName>
    <definedName name="degagement" localSheetId="13">#REF!</definedName>
    <definedName name="degagement" localSheetId="16">#REF!</definedName>
    <definedName name="degagement" localSheetId="19">#REF!</definedName>
    <definedName name="degagement" localSheetId="23">#REF!</definedName>
    <definedName name="degagement" localSheetId="20">#REF!</definedName>
    <definedName name="degagement" localSheetId="6">#REF!</definedName>
    <definedName name="degagement">#REF!</definedName>
    <definedName name="DEP" localSheetId="12">#REF!</definedName>
    <definedName name="DEP" localSheetId="14">#REF!</definedName>
    <definedName name="DEP" localSheetId="17">#REF!</definedName>
    <definedName name="DEP" localSheetId="11">#REF!</definedName>
    <definedName name="DEP" localSheetId="15">#REF!</definedName>
    <definedName name="DEP" localSheetId="18">#REF!</definedName>
    <definedName name="DEP" localSheetId="1">#REF!</definedName>
    <definedName name="DEP" localSheetId="13">#REF!</definedName>
    <definedName name="DEP" localSheetId="16">#REF!</definedName>
    <definedName name="DEP" localSheetId="19">#REF!</definedName>
    <definedName name="DEP" localSheetId="23">#REF!</definedName>
    <definedName name="DEP" localSheetId="20">#REF!</definedName>
    <definedName name="DEP" localSheetId="6">#REF!</definedName>
    <definedName name="DEP">#REF!</definedName>
    <definedName name="Dépouillement" localSheetId="12">#REF!</definedName>
    <definedName name="Dépouillement" localSheetId="14">#REF!</definedName>
    <definedName name="Dépouillement" localSheetId="17">#REF!</definedName>
    <definedName name="Dépouillement" localSheetId="11">#REF!</definedName>
    <definedName name="Dépouillement" localSheetId="15">#REF!</definedName>
    <definedName name="Dépouillement" localSheetId="18">#REF!</definedName>
    <definedName name="Dépouillement" localSheetId="1">#REF!</definedName>
    <definedName name="Dépouillement" localSheetId="13">#REF!</definedName>
    <definedName name="Dépouillement" localSheetId="16">#REF!</definedName>
    <definedName name="Dépouillement" localSheetId="19">#REF!</definedName>
    <definedName name="Dépouillement" localSheetId="23">#REF!</definedName>
    <definedName name="Dépouillement" localSheetId="20">#REF!</definedName>
    <definedName name="Dépouillement" localSheetId="6">#REF!</definedName>
    <definedName name="Dépouillement">#REF!</definedName>
    <definedName name="DEPOUILLEMENT2" localSheetId="12">#REF!</definedName>
    <definedName name="DEPOUILLEMENT2" localSheetId="14">#REF!</definedName>
    <definedName name="DEPOUILLEMENT2" localSheetId="17">#REF!</definedName>
    <definedName name="DEPOUILLEMENT2" localSheetId="11">#REF!</definedName>
    <definedName name="DEPOUILLEMENT2" localSheetId="15">#REF!</definedName>
    <definedName name="DEPOUILLEMENT2" localSheetId="18">#REF!</definedName>
    <definedName name="DEPOUILLEMENT2" localSheetId="1">#REF!</definedName>
    <definedName name="DEPOUILLEMENT2" localSheetId="13">#REF!</definedName>
    <definedName name="DEPOUILLEMENT2" localSheetId="16">#REF!</definedName>
    <definedName name="DEPOUILLEMENT2" localSheetId="19">#REF!</definedName>
    <definedName name="DEPOUILLEMENT2" localSheetId="23">#REF!</definedName>
    <definedName name="DEPOUILLEMENT2" localSheetId="20">#REF!</definedName>
    <definedName name="DEPOUILLEMENT2" localSheetId="6">#REF!</definedName>
    <definedName name="DEPOUILLEMENT2">#REF!</definedName>
    <definedName name="des" localSheetId="12">#REF!</definedName>
    <definedName name="des" localSheetId="14">#REF!</definedName>
    <definedName name="des" localSheetId="17">#REF!</definedName>
    <definedName name="des" localSheetId="11">#REF!</definedName>
    <definedName name="des" localSheetId="15">#REF!</definedName>
    <definedName name="des" localSheetId="18">#REF!</definedName>
    <definedName name="des" localSheetId="1">#REF!</definedName>
    <definedName name="des" localSheetId="13">#REF!</definedName>
    <definedName name="des" localSheetId="16">#REF!</definedName>
    <definedName name="des" localSheetId="19">#REF!</definedName>
    <definedName name="des" localSheetId="23">#REF!</definedName>
    <definedName name="des" localSheetId="20">#REF!</definedName>
    <definedName name="des" localSheetId="6">#REF!</definedName>
    <definedName name="des">#REF!</definedName>
    <definedName name="dskkjg" localSheetId="11">#REF!</definedName>
    <definedName name="dskkjg" localSheetId="15">#REF!</definedName>
    <definedName name="dskkjg" localSheetId="18">#REF!</definedName>
    <definedName name="dskkjg" localSheetId="23">#REF!</definedName>
    <definedName name="dskkjg" localSheetId="20">#REF!</definedName>
    <definedName name="dskkjg">#REF!</definedName>
    <definedName name="dtgr" localSheetId="11">#REF!</definedName>
    <definedName name="dtgr" localSheetId="15">#REF!</definedName>
    <definedName name="dtgr" localSheetId="18">#REF!</definedName>
    <definedName name="dtgr" localSheetId="23">#REF!</definedName>
    <definedName name="dtgr" localSheetId="20">#REF!</definedName>
    <definedName name="dtgr">#REF!</definedName>
    <definedName name="fdgd" localSheetId="11">#REF!</definedName>
    <definedName name="fdgd" localSheetId="15">#REF!</definedName>
    <definedName name="fdgd" localSheetId="18">#REF!</definedName>
    <definedName name="fdgd" localSheetId="23">#REF!</definedName>
    <definedName name="fdgd" localSheetId="20">#REF!</definedName>
    <definedName name="fdgd">#REF!</definedName>
    <definedName name="fdvbf" localSheetId="11">#REF!</definedName>
    <definedName name="fdvbf" localSheetId="15">#REF!</definedName>
    <definedName name="fdvbf" localSheetId="18">#REF!</definedName>
    <definedName name="fdvbf" localSheetId="23">#REF!</definedName>
    <definedName name="fdvbf" localSheetId="20">#REF!</definedName>
    <definedName name="fdvbf">#REF!</definedName>
    <definedName name="FFF" localSheetId="12">#REF!</definedName>
    <definedName name="FFF" localSheetId="14">#REF!</definedName>
    <definedName name="FFF" localSheetId="17">#REF!</definedName>
    <definedName name="FFF" localSheetId="11">#REF!</definedName>
    <definedName name="FFF" localSheetId="15">#REF!</definedName>
    <definedName name="FFF" localSheetId="18">#REF!</definedName>
    <definedName name="FFF" localSheetId="1">#REF!</definedName>
    <definedName name="FFF" localSheetId="13">#REF!</definedName>
    <definedName name="FFF" localSheetId="16">#REF!</definedName>
    <definedName name="FFF" localSheetId="19">#REF!</definedName>
    <definedName name="FFF" localSheetId="23">#REF!</definedName>
    <definedName name="FFF" localSheetId="20">#REF!</definedName>
    <definedName name="FFF" localSheetId="6">#REF!</definedName>
    <definedName name="FFF">#REF!</definedName>
    <definedName name="ffffff" localSheetId="12">#REF!</definedName>
    <definedName name="ffffff" localSheetId="14">#REF!</definedName>
    <definedName name="ffffff" localSheetId="17">#REF!</definedName>
    <definedName name="ffffff" localSheetId="11">#REF!</definedName>
    <definedName name="ffffff" localSheetId="15">#REF!</definedName>
    <definedName name="ffffff" localSheetId="18">#REF!</definedName>
    <definedName name="ffffff" localSheetId="1">#REF!</definedName>
    <definedName name="ffffff" localSheetId="13">#REF!</definedName>
    <definedName name="ffffff" localSheetId="16">#REF!</definedName>
    <definedName name="ffffff" localSheetId="19">#REF!</definedName>
    <definedName name="ffffff" localSheetId="23">#REF!</definedName>
    <definedName name="ffffff" localSheetId="20">#REF!</definedName>
    <definedName name="ffffff" localSheetId="6">#REF!</definedName>
    <definedName name="ffffff">#REF!</definedName>
    <definedName name="FGHDJSJHDSJFSK" localSheetId="11">#REF!</definedName>
    <definedName name="FGHDJSJHDSJFSK" localSheetId="15">#REF!</definedName>
    <definedName name="FGHDJSJHDSJFSK" localSheetId="18">#REF!</definedName>
    <definedName name="FGHDJSJHDSJFSK" localSheetId="1">#REF!</definedName>
    <definedName name="FGHDJSJHDSJFSK" localSheetId="23">#REF!</definedName>
    <definedName name="FGHDJSJHDSJFSK" localSheetId="20">#REF!</definedName>
    <definedName name="FGHDJSJHDSJFSK">#REF!</definedName>
    <definedName name="flhk" localSheetId="11">#REF!</definedName>
    <definedName name="flhk" localSheetId="15">#REF!</definedName>
    <definedName name="flhk" localSheetId="18">#REF!</definedName>
    <definedName name="flhk" localSheetId="23">#REF!</definedName>
    <definedName name="flhk" localSheetId="20">#REF!</definedName>
    <definedName name="flhk">#REF!</definedName>
    <definedName name="ggg" localSheetId="12">#REF!</definedName>
    <definedName name="ggg" localSheetId="14">#REF!</definedName>
    <definedName name="ggg" localSheetId="17">#REF!</definedName>
    <definedName name="ggg" localSheetId="11">#REF!</definedName>
    <definedName name="ggg" localSheetId="15">#REF!</definedName>
    <definedName name="ggg" localSheetId="18">#REF!</definedName>
    <definedName name="ggg" localSheetId="1">#REF!</definedName>
    <definedName name="ggg" localSheetId="13">#REF!</definedName>
    <definedName name="ggg" localSheetId="16">#REF!</definedName>
    <definedName name="ggg" localSheetId="19">#REF!</definedName>
    <definedName name="ggg" localSheetId="23">#REF!</definedName>
    <definedName name="ggg" localSheetId="20">#REF!</definedName>
    <definedName name="ggg" localSheetId="6">#REF!</definedName>
    <definedName name="ggg">#REF!</definedName>
    <definedName name="gggggggggggggggggggg" localSheetId="12">#REF!</definedName>
    <definedName name="gggggggggggggggggggg" localSheetId="14">#REF!</definedName>
    <definedName name="gggggggggggggggggggg" localSheetId="17">#REF!</definedName>
    <definedName name="gggggggggggggggggggg" localSheetId="11">#REF!</definedName>
    <definedName name="gggggggggggggggggggg" localSheetId="15">#REF!</definedName>
    <definedName name="gggggggggggggggggggg" localSheetId="18">#REF!</definedName>
    <definedName name="gggggggggggggggggggg" localSheetId="1">#REF!</definedName>
    <definedName name="gggggggggggggggggggg" localSheetId="13">#REF!</definedName>
    <definedName name="gggggggggggggggggggg" localSheetId="16">#REF!</definedName>
    <definedName name="gggggggggggggggggggg" localSheetId="19">#REF!</definedName>
    <definedName name="gggggggggggggggggggg" localSheetId="23">#REF!</definedName>
    <definedName name="gggggggggggggggggggg" localSheetId="20">#REF!</definedName>
    <definedName name="gggggggggggggggggggg" localSheetId="6">#REF!</definedName>
    <definedName name="gggggggggggggggggggg">#REF!</definedName>
    <definedName name="GIFFFFFFFHLL" localSheetId="11">#REF!</definedName>
    <definedName name="GIFFFFFFFHLL" localSheetId="15">#REF!</definedName>
    <definedName name="GIFFFFFFFHLL" localSheetId="18">#REF!</definedName>
    <definedName name="GIFFFFFFFHLL" localSheetId="23">#REF!</definedName>
    <definedName name="GIFFFFFFFHLL" localSheetId="20">#REF!</definedName>
    <definedName name="GIFFFFFFFHLL">#REF!</definedName>
    <definedName name="giyyuibh" localSheetId="11">#REF!</definedName>
    <definedName name="giyyuibh" localSheetId="15">#REF!</definedName>
    <definedName name="giyyuibh" localSheetId="18">#REF!</definedName>
    <definedName name="giyyuibh" localSheetId="23">#REF!</definedName>
    <definedName name="giyyuibh" localSheetId="20">#REF!</definedName>
    <definedName name="giyyuibh">#REF!</definedName>
    <definedName name="gjfdddddddddl" localSheetId="11">#REF!</definedName>
    <definedName name="gjfdddddddddl" localSheetId="15">#REF!</definedName>
    <definedName name="gjfdddddddddl" localSheetId="18">#REF!</definedName>
    <definedName name="gjfdddddddddl" localSheetId="23">#REF!</definedName>
    <definedName name="gjfdddddddddl" localSheetId="20">#REF!</definedName>
    <definedName name="gjfdddddddddl">#REF!</definedName>
    <definedName name="GUUUUUUUU" localSheetId="11">#REF!</definedName>
    <definedName name="GUUUUUUUU" localSheetId="15">#REF!</definedName>
    <definedName name="GUUUUUUUU" localSheetId="18">#REF!</definedName>
    <definedName name="GUUUUUUUU" localSheetId="23">#REF!</definedName>
    <definedName name="GUUUUUUUU" localSheetId="20">#REF!</definedName>
    <definedName name="GUUUUUUUU">#REF!</definedName>
    <definedName name="H" localSheetId="12">#REF!</definedName>
    <definedName name="H" localSheetId="14">#REF!</definedName>
    <definedName name="H" localSheetId="17">#REF!</definedName>
    <definedName name="H" localSheetId="11">#REF!</definedName>
    <definedName name="H" localSheetId="15">#REF!</definedName>
    <definedName name="H" localSheetId="18">#REF!</definedName>
    <definedName name="H" localSheetId="1">#REF!</definedName>
    <definedName name="H" localSheetId="13">#REF!</definedName>
    <definedName name="H" localSheetId="16">#REF!</definedName>
    <definedName name="H" localSheetId="19">#REF!</definedName>
    <definedName name="H" localSheetId="23">#REF!</definedName>
    <definedName name="H" localSheetId="20">#REF!</definedName>
    <definedName name="H" localSheetId="6">#REF!</definedName>
    <definedName name="H">#REF!</definedName>
    <definedName name="hhhh" localSheetId="11">#REF!</definedName>
    <definedName name="hhhh" localSheetId="15">#REF!</definedName>
    <definedName name="hhhh" localSheetId="18">#REF!</definedName>
    <definedName name="hhhh" localSheetId="23">#REF!</definedName>
    <definedName name="hhhh" localSheetId="20">#REF!</definedName>
    <definedName name="hhhh">#REF!</definedName>
    <definedName name="hhhhhhhhhhh" localSheetId="11">#REF!</definedName>
    <definedName name="hhhhhhhhhhh" localSheetId="15">#REF!</definedName>
    <definedName name="hhhhhhhhhhh" localSheetId="18">#REF!</definedName>
    <definedName name="hhhhhhhhhhh" localSheetId="23">#REF!</definedName>
    <definedName name="hhhhhhhhhhh" localSheetId="20">#REF!</definedName>
    <definedName name="hhhhhhhhhhh">#REF!</definedName>
    <definedName name="HHHHKKL" localSheetId="11">#REF!</definedName>
    <definedName name="HHHHKKL" localSheetId="15">#REF!</definedName>
    <definedName name="HHHHKKL" localSheetId="18">#REF!</definedName>
    <definedName name="HHHHKKL" localSheetId="23">#REF!</definedName>
    <definedName name="HHHHKKL" localSheetId="20">#REF!</definedName>
    <definedName name="HHHHKKL">#REF!</definedName>
    <definedName name="hhjk" localSheetId="11">#REF!</definedName>
    <definedName name="hhjk" localSheetId="15">#REF!</definedName>
    <definedName name="hhjk" localSheetId="18">#REF!</definedName>
    <definedName name="hhjk" localSheetId="23">#REF!</definedName>
    <definedName name="hhjk" localSheetId="20">#REF!</definedName>
    <definedName name="hhjk">#REF!</definedName>
    <definedName name="HJHHHH" localSheetId="12">#REF!</definedName>
    <definedName name="HJHHHH" localSheetId="14">#REF!</definedName>
    <definedName name="HJHHHH" localSheetId="17">#REF!</definedName>
    <definedName name="HJHHHH" localSheetId="11">#REF!</definedName>
    <definedName name="HJHHHH" localSheetId="15">#REF!</definedName>
    <definedName name="HJHHHH" localSheetId="18">#REF!</definedName>
    <definedName name="HJHHHH" localSheetId="1">#REF!</definedName>
    <definedName name="HJHHHH" localSheetId="13">#REF!</definedName>
    <definedName name="HJHHHH" localSheetId="16">#REF!</definedName>
    <definedName name="HJHHHH" localSheetId="19">#REF!</definedName>
    <definedName name="HJHHHH" localSheetId="23">#REF!</definedName>
    <definedName name="HJHHHH" localSheetId="20">#REF!</definedName>
    <definedName name="HJHHHH">#REF!</definedName>
    <definedName name="HJJJJJJJ" localSheetId="11">#REF!</definedName>
    <definedName name="HJJJJJJJ" localSheetId="15">#REF!</definedName>
    <definedName name="HJJJJJJJ" localSheetId="18">#REF!</definedName>
    <definedName name="HJJJJJJJ" localSheetId="23">#REF!</definedName>
    <definedName name="HJJJJJJJ" localSheetId="20">#REF!</definedName>
    <definedName name="HJJJJJJJ">#REF!</definedName>
    <definedName name="HJLK" localSheetId="11">#REF!</definedName>
    <definedName name="HJLK" localSheetId="15">#REF!</definedName>
    <definedName name="HJLK" localSheetId="18">#REF!</definedName>
    <definedName name="HJLK" localSheetId="23">#REF!</definedName>
    <definedName name="HJLK" localSheetId="20">#REF!</definedName>
    <definedName name="HJLK">#REF!</definedName>
    <definedName name="hkgfkgk" localSheetId="12">#REF!</definedName>
    <definedName name="hkgfkgk" localSheetId="14">#REF!</definedName>
    <definedName name="hkgfkgk" localSheetId="17">#REF!</definedName>
    <definedName name="hkgfkgk" localSheetId="11">#REF!</definedName>
    <definedName name="hkgfkgk" localSheetId="15">#REF!</definedName>
    <definedName name="hkgfkgk" localSheetId="18">#REF!</definedName>
    <definedName name="hkgfkgk" localSheetId="1">#REF!</definedName>
    <definedName name="hkgfkgk" localSheetId="13">#REF!</definedName>
    <definedName name="hkgfkgk" localSheetId="16">#REF!</definedName>
    <definedName name="hkgfkgk" localSheetId="19">#REF!</definedName>
    <definedName name="hkgfkgk" localSheetId="23">#REF!</definedName>
    <definedName name="hkgfkgk" localSheetId="20">#REF!</definedName>
    <definedName name="hkgfkgk">#REF!</definedName>
    <definedName name="HKLLLLLLLL" localSheetId="11">#REF!</definedName>
    <definedName name="HKLLLLLLLL" localSheetId="15">#REF!</definedName>
    <definedName name="HKLLLLLLLL" localSheetId="18">#REF!</definedName>
    <definedName name="HKLLLLLLLL" localSheetId="23">#REF!</definedName>
    <definedName name="HKLLLLLLLL" localSheetId="20">#REF!</definedName>
    <definedName name="HKLLLLLLLL">#REF!</definedName>
    <definedName name="iiiiiii" localSheetId="12">#REF!</definedName>
    <definedName name="iiiiiii" localSheetId="14">#REF!</definedName>
    <definedName name="iiiiiii" localSheetId="17">#REF!</definedName>
    <definedName name="iiiiiii" localSheetId="11">#REF!</definedName>
    <definedName name="iiiiiii" localSheetId="15">#REF!</definedName>
    <definedName name="iiiiiii" localSheetId="18">#REF!</definedName>
    <definedName name="iiiiiii" localSheetId="1">#REF!</definedName>
    <definedName name="iiiiiii" localSheetId="13">#REF!</definedName>
    <definedName name="iiiiiii" localSheetId="16">#REF!</definedName>
    <definedName name="iiiiiii" localSheetId="19">#REF!</definedName>
    <definedName name="iiiiiii" localSheetId="23">#REF!</definedName>
    <definedName name="iiiiiii" localSheetId="20">#REF!</definedName>
    <definedName name="iiiiiii" localSheetId="6">#REF!</definedName>
    <definedName name="iiiiiii">#REF!</definedName>
    <definedName name="iiiiiiii" localSheetId="11">#REF!</definedName>
    <definedName name="iiiiiiii" localSheetId="15">#REF!</definedName>
    <definedName name="iiiiiiii" localSheetId="18">#REF!</definedName>
    <definedName name="iiiiiiii" localSheetId="23">#REF!</definedName>
    <definedName name="iiiiiiii" localSheetId="20">#REF!</definedName>
    <definedName name="iiiiiiii">#REF!</definedName>
    <definedName name="iiiuhnki" localSheetId="11">#REF!</definedName>
    <definedName name="iiiuhnki" localSheetId="15">#REF!</definedName>
    <definedName name="iiiuhnki" localSheetId="18">#REF!</definedName>
    <definedName name="iiiuhnki" localSheetId="23">#REF!</definedName>
    <definedName name="iiiuhnki" localSheetId="20">#REF!</definedName>
    <definedName name="iiiuhnki">#REF!</definedName>
    <definedName name="j" localSheetId="12">#REF!</definedName>
    <definedName name="j" localSheetId="14">#REF!</definedName>
    <definedName name="j" localSheetId="17">#REF!</definedName>
    <definedName name="j" localSheetId="11">#REF!</definedName>
    <definedName name="j" localSheetId="15">#REF!</definedName>
    <definedName name="j" localSheetId="18">#REF!</definedName>
    <definedName name="j" localSheetId="1">#REF!</definedName>
    <definedName name="j" localSheetId="13">#REF!</definedName>
    <definedName name="j" localSheetId="16">#REF!</definedName>
    <definedName name="j" localSheetId="19">#REF!</definedName>
    <definedName name="j" localSheetId="23">#REF!</definedName>
    <definedName name="j" localSheetId="20">#REF!</definedName>
    <definedName name="j" localSheetId="6">#REF!</definedName>
    <definedName name="j">#REF!</definedName>
    <definedName name="jihhhhhhhhhhhhhh" localSheetId="11">#REF!</definedName>
    <definedName name="jihhhhhhhhhhhhhh" localSheetId="15">#REF!</definedName>
    <definedName name="jihhhhhhhhhhhhhh" localSheetId="18">#REF!</definedName>
    <definedName name="jihhhhhhhhhhhhhh" localSheetId="23">#REF!</definedName>
    <definedName name="jihhhhhhhhhhhhhh" localSheetId="20">#REF!</definedName>
    <definedName name="jihhhhhhhhhhhhhh">#REF!</definedName>
    <definedName name="jjjj" localSheetId="12">#REF!</definedName>
    <definedName name="jjjj" localSheetId="14">#REF!</definedName>
    <definedName name="jjjj" localSheetId="17">#REF!</definedName>
    <definedName name="jjjj" localSheetId="11">#REF!</definedName>
    <definedName name="jjjj" localSheetId="15">#REF!</definedName>
    <definedName name="jjjj" localSheetId="18">#REF!</definedName>
    <definedName name="jjjj" localSheetId="1">#REF!</definedName>
    <definedName name="jjjj" localSheetId="13">#REF!</definedName>
    <definedName name="jjjj" localSheetId="16">#REF!</definedName>
    <definedName name="jjjj" localSheetId="19">#REF!</definedName>
    <definedName name="jjjj" localSheetId="23">#REF!</definedName>
    <definedName name="jjjj" localSheetId="20">#REF!</definedName>
    <definedName name="jjjj" localSheetId="6">#REF!</definedName>
    <definedName name="jjjj">#REF!</definedName>
    <definedName name="jjjjj" localSheetId="12">#REF!</definedName>
    <definedName name="jjjjj" localSheetId="14">#REF!</definedName>
    <definedName name="jjjjj" localSheetId="17">#REF!</definedName>
    <definedName name="jjjjj" localSheetId="11">#REF!</definedName>
    <definedName name="jjjjj" localSheetId="15">#REF!</definedName>
    <definedName name="jjjjj" localSheetId="18">#REF!</definedName>
    <definedName name="jjjjj" localSheetId="1">#REF!</definedName>
    <definedName name="jjjjj" localSheetId="13">#REF!</definedName>
    <definedName name="jjjjj" localSheetId="16">#REF!</definedName>
    <definedName name="jjjjj" localSheetId="19">#REF!</definedName>
    <definedName name="jjjjj" localSheetId="23">#REF!</definedName>
    <definedName name="jjjjj" localSheetId="20">#REF!</definedName>
    <definedName name="jjjjj" localSheetId="6">#REF!</definedName>
    <definedName name="jjjjj">#REF!</definedName>
    <definedName name="jjjjjj" localSheetId="12">#REF!</definedName>
    <definedName name="jjjjjj" localSheetId="14">#REF!</definedName>
    <definedName name="jjjjjj" localSheetId="17">#REF!</definedName>
    <definedName name="jjjjjj" localSheetId="11">#REF!</definedName>
    <definedName name="jjjjjj" localSheetId="15">#REF!</definedName>
    <definedName name="jjjjjj" localSheetId="18">#REF!</definedName>
    <definedName name="jjjjjj" localSheetId="1">#REF!</definedName>
    <definedName name="jjjjjj" localSheetId="13">#REF!</definedName>
    <definedName name="jjjjjj" localSheetId="16">#REF!</definedName>
    <definedName name="jjjjjj" localSheetId="19">#REF!</definedName>
    <definedName name="jjjjjj" localSheetId="23">#REF!</definedName>
    <definedName name="jjjjjj" localSheetId="20">#REF!</definedName>
    <definedName name="jjjjjj">#REF!</definedName>
    <definedName name="jjjjjjj" localSheetId="12">#REF!</definedName>
    <definedName name="jjjjjjj" localSheetId="14">#REF!</definedName>
    <definedName name="jjjjjjj" localSheetId="17">#REF!</definedName>
    <definedName name="jjjjjjj" localSheetId="11">#REF!</definedName>
    <definedName name="jjjjjjj" localSheetId="15">#REF!</definedName>
    <definedName name="jjjjjjj" localSheetId="18">#REF!</definedName>
    <definedName name="jjjjjjj" localSheetId="1">#REF!</definedName>
    <definedName name="jjjjjjj" localSheetId="13">#REF!</definedName>
    <definedName name="jjjjjjj" localSheetId="16">#REF!</definedName>
    <definedName name="jjjjjjj" localSheetId="19">#REF!</definedName>
    <definedName name="jjjjjjj" localSheetId="23">#REF!</definedName>
    <definedName name="jjjjjjj" localSheetId="20">#REF!</definedName>
    <definedName name="jjjjjjj" localSheetId="6">#REF!</definedName>
    <definedName name="jjjjjjj">#REF!</definedName>
    <definedName name="jjjjjjjjj" localSheetId="11">#REF!</definedName>
    <definedName name="jjjjjjjjj" localSheetId="15">#REF!</definedName>
    <definedName name="jjjjjjjjj" localSheetId="18">#REF!</definedName>
    <definedName name="jjjjjjjjj" localSheetId="23">#REF!</definedName>
    <definedName name="jjjjjjjjj" localSheetId="20">#REF!</definedName>
    <definedName name="jjjjjjjjj">#REF!</definedName>
    <definedName name="jjjjjjjjjj" localSheetId="11">#REF!</definedName>
    <definedName name="jjjjjjjjjj" localSheetId="15">#REF!</definedName>
    <definedName name="jjjjjjjjjj" localSheetId="18">#REF!</definedName>
    <definedName name="jjjjjjjjjj" localSheetId="23">#REF!</definedName>
    <definedName name="jjjjjjjjjj" localSheetId="20">#REF!</definedName>
    <definedName name="jjjjjjjjjj">#REF!</definedName>
    <definedName name="jjjjjjjjjjjj" localSheetId="11">#REF!</definedName>
    <definedName name="jjjjjjjjjjjj" localSheetId="15">#REF!</definedName>
    <definedName name="jjjjjjjjjjjj" localSheetId="18">#REF!</definedName>
    <definedName name="jjjjjjjjjjjj" localSheetId="23">#REF!</definedName>
    <definedName name="jjjjjjjjjjjj" localSheetId="20">#REF!</definedName>
    <definedName name="jjjjjjjjjjjj">#REF!</definedName>
    <definedName name="jjjjjjjjjjjjjjj" localSheetId="11">#REF!</definedName>
    <definedName name="jjjjjjjjjjjjjjj" localSheetId="15">#REF!</definedName>
    <definedName name="jjjjjjjjjjjjjjj" localSheetId="18">#REF!</definedName>
    <definedName name="jjjjjjjjjjjjjjj">#REF!</definedName>
    <definedName name="jjjjjjjjjjjjjjjjjjjjjjjj" localSheetId="12">#REF!</definedName>
    <definedName name="jjjjjjjjjjjjjjjjjjjjjjjj" localSheetId="14">#REF!</definedName>
    <definedName name="jjjjjjjjjjjjjjjjjjjjjjjj" localSheetId="17">#REF!</definedName>
    <definedName name="jjjjjjjjjjjjjjjjjjjjjjjj" localSheetId="11">#REF!</definedName>
    <definedName name="jjjjjjjjjjjjjjjjjjjjjjjj" localSheetId="15">#REF!</definedName>
    <definedName name="jjjjjjjjjjjjjjjjjjjjjjjj" localSheetId="18">#REF!</definedName>
    <definedName name="jjjjjjjjjjjjjjjjjjjjjjjj" localSheetId="1">#REF!</definedName>
    <definedName name="jjjjjjjjjjjjjjjjjjjjjjjj" localSheetId="13">#REF!</definedName>
    <definedName name="jjjjjjjjjjjjjjjjjjjjjjjj" localSheetId="16">#REF!</definedName>
    <definedName name="jjjjjjjjjjjjjjjjjjjjjjjj" localSheetId="19">#REF!</definedName>
    <definedName name="jjjjjjjjjjjjjjjjjjjjjjjj" localSheetId="23">#REF!</definedName>
    <definedName name="jjjjjjjjjjjjjjjjjjjjjjjj" localSheetId="20">#REF!</definedName>
    <definedName name="jjjjjjjjjjjjjjjjjjjjjjjj" localSheetId="6">#REF!</definedName>
    <definedName name="jjjjjjjjjjjjjjjjjjjjjjjj">#REF!</definedName>
    <definedName name="jkhiiiiiiii" localSheetId="11">#REF!</definedName>
    <definedName name="jkhiiiiiiii" localSheetId="15">#REF!</definedName>
    <definedName name="jkhiiiiiiii" localSheetId="18">#REF!</definedName>
    <definedName name="jkhiiiiiiii" localSheetId="23">#REF!</definedName>
    <definedName name="jkhiiiiiiii" localSheetId="20">#REF!</definedName>
    <definedName name="jkhiiiiiiii">#REF!</definedName>
    <definedName name="JKHL" localSheetId="11">#REF!</definedName>
    <definedName name="JKHL" localSheetId="15">#REF!</definedName>
    <definedName name="JKHL" localSheetId="18">#REF!</definedName>
    <definedName name="JKHL" localSheetId="23">#REF!</definedName>
    <definedName name="JKHL" localSheetId="20">#REF!</definedName>
    <definedName name="JKHL">#REF!</definedName>
    <definedName name="jkkkkkkkkkkkkk" localSheetId="11">#REF!</definedName>
    <definedName name="jkkkkkkkkkkkkk" localSheetId="15">#REF!</definedName>
    <definedName name="jkkkkkkkkkkkkk" localSheetId="18">#REF!</definedName>
    <definedName name="jkkkkkkkkkkkkk" localSheetId="23">#REF!</definedName>
    <definedName name="jkkkkkkkkkkkkk" localSheetId="20">#REF!</definedName>
    <definedName name="jkkkkkkkkkkkkk">#REF!</definedName>
    <definedName name="K" localSheetId="12">#REF!</definedName>
    <definedName name="K" localSheetId="14">#REF!</definedName>
    <definedName name="K" localSheetId="17">#REF!</definedName>
    <definedName name="K" localSheetId="11">#REF!</definedName>
    <definedName name="K" localSheetId="15">#REF!</definedName>
    <definedName name="K" localSheetId="18">#REF!</definedName>
    <definedName name="K" localSheetId="1">#REF!</definedName>
    <definedName name="K" localSheetId="13">#REF!</definedName>
    <definedName name="K" localSheetId="16">#REF!</definedName>
    <definedName name="K" localSheetId="19">#REF!</definedName>
    <definedName name="K" localSheetId="23">#REF!</definedName>
    <definedName name="K" localSheetId="20">#REF!</definedName>
    <definedName name="K" localSheetId="6">#REF!</definedName>
    <definedName name="K">#REF!</definedName>
    <definedName name="kgfjh" localSheetId="11">#REF!</definedName>
    <definedName name="kgfjh" localSheetId="15">#REF!</definedName>
    <definedName name="kgfjh" localSheetId="18">#REF!</definedName>
    <definedName name="kgfjh" localSheetId="23">#REF!</definedName>
    <definedName name="kgfjh" localSheetId="20">#REF!</definedName>
    <definedName name="kgfjh">#REF!</definedName>
    <definedName name="khhhg" localSheetId="12">#REF!</definedName>
    <definedName name="khhhg" localSheetId="14">#REF!</definedName>
    <definedName name="khhhg" localSheetId="17">#REF!</definedName>
    <definedName name="khhhg" localSheetId="11">#REF!</definedName>
    <definedName name="khhhg" localSheetId="15">#REF!</definedName>
    <definedName name="khhhg" localSheetId="18">#REF!</definedName>
    <definedName name="khhhg" localSheetId="1">#REF!</definedName>
    <definedName name="khhhg" localSheetId="13">#REF!</definedName>
    <definedName name="khhhg" localSheetId="16">#REF!</definedName>
    <definedName name="khhhg" localSheetId="19">#REF!</definedName>
    <definedName name="khhhg" localSheetId="23">#REF!</definedName>
    <definedName name="khhhg" localSheetId="20">#REF!</definedName>
    <definedName name="khhhg" localSheetId="6">#REF!</definedName>
    <definedName name="khhhg">#REF!</definedName>
    <definedName name="khhhgl" localSheetId="11">#REF!</definedName>
    <definedName name="khhhgl" localSheetId="15">#REF!</definedName>
    <definedName name="khhhgl" localSheetId="18">#REF!</definedName>
    <definedName name="khhhgl" localSheetId="23">#REF!</definedName>
    <definedName name="khhhgl" localSheetId="20">#REF!</definedName>
    <definedName name="khhhgl">#REF!</definedName>
    <definedName name="khhhhhhg" localSheetId="11">#REF!</definedName>
    <definedName name="khhhhhhg" localSheetId="15">#REF!</definedName>
    <definedName name="khhhhhhg" localSheetId="18">#REF!</definedName>
    <definedName name="khhhhhhg" localSheetId="23">#REF!</definedName>
    <definedName name="khhhhhhg" localSheetId="20">#REF!</definedName>
    <definedName name="khhhhhhg">#REF!</definedName>
    <definedName name="khhhhhkg" localSheetId="11">#REF!</definedName>
    <definedName name="khhhhhkg" localSheetId="15">#REF!</definedName>
    <definedName name="khhhhhkg" localSheetId="18">#REF!</definedName>
    <definedName name="khhhhhkg" localSheetId="23">#REF!</definedName>
    <definedName name="khhhhhkg" localSheetId="20">#REF!</definedName>
    <definedName name="khhhhhkg">#REF!</definedName>
    <definedName name="khlgf" localSheetId="11">#REF!</definedName>
    <definedName name="khlgf" localSheetId="15">#REF!</definedName>
    <definedName name="khlgf" localSheetId="18">#REF!</definedName>
    <definedName name="khlgf" localSheetId="23">#REF!</definedName>
    <definedName name="khlgf" localSheetId="20">#REF!</definedName>
    <definedName name="khlgf">#REF!</definedName>
    <definedName name="kjjjjjjjjjjjjjjjj" localSheetId="11">#REF!</definedName>
    <definedName name="kjjjjjjjjjjjjjjjj" localSheetId="15">#REF!</definedName>
    <definedName name="kjjjjjjjjjjjjjjjj" localSheetId="18">#REF!</definedName>
    <definedName name="kjjjjjjjjjjjjjjjj" localSheetId="23">#REF!</definedName>
    <definedName name="kjjjjjjjjjjjjjjjj" localSheetId="20">#REF!</definedName>
    <definedName name="kjjjjjjjjjjjjjjjj">#REF!</definedName>
    <definedName name="kjklll" localSheetId="12">#REF!</definedName>
    <definedName name="kjklll" localSheetId="14">#REF!</definedName>
    <definedName name="kjklll" localSheetId="17">#REF!</definedName>
    <definedName name="kjklll" localSheetId="11">#REF!</definedName>
    <definedName name="kjklll" localSheetId="15">#REF!</definedName>
    <definedName name="kjklll" localSheetId="18">#REF!</definedName>
    <definedName name="kjklll" localSheetId="1">#REF!</definedName>
    <definedName name="kjklll" localSheetId="13">#REF!</definedName>
    <definedName name="kjklll" localSheetId="16">#REF!</definedName>
    <definedName name="kjklll" localSheetId="19">#REF!</definedName>
    <definedName name="kjklll" localSheetId="23">#REF!</definedName>
    <definedName name="kjklll" localSheetId="20">#REF!</definedName>
    <definedName name="kjklll" localSheetId="6">#REF!</definedName>
    <definedName name="kjklll">#REF!</definedName>
    <definedName name="KJLH" localSheetId="11">#REF!</definedName>
    <definedName name="KJLH" localSheetId="15">#REF!</definedName>
    <definedName name="KJLH" localSheetId="18">#REF!</definedName>
    <definedName name="KJLH" localSheetId="23">#REF!</definedName>
    <definedName name="KJLH" localSheetId="20">#REF!</definedName>
    <definedName name="KJLH">#REF!</definedName>
    <definedName name="kk" localSheetId="12">#REF!</definedName>
    <definedName name="kk" localSheetId="14">#REF!</definedName>
    <definedName name="kk" localSheetId="17">#REF!</definedName>
    <definedName name="kk" localSheetId="11">#REF!</definedName>
    <definedName name="kk" localSheetId="15">#REF!</definedName>
    <definedName name="kk" localSheetId="18">#REF!</definedName>
    <definedName name="kk" localSheetId="1">#REF!</definedName>
    <definedName name="kk" localSheetId="13">#REF!</definedName>
    <definedName name="kk" localSheetId="16">#REF!</definedName>
    <definedName name="kk" localSheetId="19">#REF!</definedName>
    <definedName name="kk" localSheetId="23">#REF!</definedName>
    <definedName name="kk" localSheetId="20">#REF!</definedName>
    <definedName name="kk" localSheetId="6">#REF!</definedName>
    <definedName name="kk">#REF!</definedName>
    <definedName name="kkhjjjj" localSheetId="11">#REF!</definedName>
    <definedName name="kkhjjjj" localSheetId="15">#REF!</definedName>
    <definedName name="kkhjjjj" localSheetId="18">#REF!</definedName>
    <definedName name="kkhjjjj" localSheetId="23">#REF!</definedName>
    <definedName name="kkhjjjj" localSheetId="20">#REF!</definedName>
    <definedName name="kkhjjjj">#REF!</definedName>
    <definedName name="kkk" localSheetId="12">#REF!</definedName>
    <definedName name="kkk" localSheetId="14">#REF!</definedName>
    <definedName name="kkk" localSheetId="17">#REF!</definedName>
    <definedName name="kkk" localSheetId="11">#REF!</definedName>
    <definedName name="kkk" localSheetId="15">#REF!</definedName>
    <definedName name="kkk" localSheetId="18">#REF!</definedName>
    <definedName name="kkk" localSheetId="1">#REF!</definedName>
    <definedName name="kkk" localSheetId="13">#REF!</definedName>
    <definedName name="kkk" localSheetId="16">#REF!</definedName>
    <definedName name="kkk" localSheetId="19">#REF!</definedName>
    <definedName name="kkk" localSheetId="23">#REF!</definedName>
    <definedName name="kkk" localSheetId="20">#REF!</definedName>
    <definedName name="kkk" localSheetId="6">#REF!</definedName>
    <definedName name="kkk">#REF!</definedName>
    <definedName name="kkkk" localSheetId="12">#REF!</definedName>
    <definedName name="kkkk" localSheetId="14">#REF!</definedName>
    <definedName name="kkkk" localSheetId="17">#REF!</definedName>
    <definedName name="kkkk" localSheetId="11">#REF!</definedName>
    <definedName name="kkkk" localSheetId="15">#REF!</definedName>
    <definedName name="kkkk" localSheetId="18">#REF!</definedName>
    <definedName name="kkkk" localSheetId="1">#REF!</definedName>
    <definedName name="kkkk" localSheetId="13">#REF!</definedName>
    <definedName name="kkkk" localSheetId="16">#REF!</definedName>
    <definedName name="kkkk" localSheetId="19">#REF!</definedName>
    <definedName name="kkkk" localSheetId="23">#REF!</definedName>
    <definedName name="kkkk" localSheetId="20">#REF!</definedName>
    <definedName name="kkkk" localSheetId="6">#REF!</definedName>
    <definedName name="kkkk">#REF!</definedName>
    <definedName name="kkkkkkkj" localSheetId="11">#REF!</definedName>
    <definedName name="kkkkkkkj" localSheetId="15">#REF!</definedName>
    <definedName name="kkkkkkkj" localSheetId="18">#REF!</definedName>
    <definedName name="kkkkkkkj" localSheetId="23">#REF!</definedName>
    <definedName name="kkkkkkkj" localSheetId="20">#REF!</definedName>
    <definedName name="kkkkkkkj">#REF!</definedName>
    <definedName name="kkkkkkkkkj" localSheetId="11">#REF!</definedName>
    <definedName name="kkkkkkkkkj" localSheetId="15">#REF!</definedName>
    <definedName name="kkkkkkkkkj" localSheetId="18">#REF!</definedName>
    <definedName name="kkkkkkkkkj" localSheetId="23">#REF!</definedName>
    <definedName name="kkkkkkkkkj" localSheetId="20">#REF!</definedName>
    <definedName name="kkkkkkkkkj">#REF!</definedName>
    <definedName name="kkkkkkkkkkk" localSheetId="11">#REF!</definedName>
    <definedName name="kkkkkkkkkkk" localSheetId="15">#REF!</definedName>
    <definedName name="kkkkkkkkkkk" localSheetId="18">#REF!</definedName>
    <definedName name="kkkkkkkkkkk" localSheetId="23">#REF!</definedName>
    <definedName name="kkkkkkkkkkk" localSheetId="20">#REF!</definedName>
    <definedName name="kkkkkkkkkkk">#REF!</definedName>
    <definedName name="kkkkkkkkkkkkkkkkkkk" localSheetId="12">#REF!</definedName>
    <definedName name="kkkkkkkkkkkkkkkkkkk" localSheetId="14">#REF!</definedName>
    <definedName name="kkkkkkkkkkkkkkkkkkk" localSheetId="17">#REF!</definedName>
    <definedName name="kkkkkkkkkkkkkkkkkkk" localSheetId="11">#REF!</definedName>
    <definedName name="kkkkkkkkkkkkkkkkkkk" localSheetId="15">#REF!</definedName>
    <definedName name="kkkkkkkkkkkkkkkkkkk" localSheetId="18">#REF!</definedName>
    <definedName name="kkkkkkkkkkkkkkkkkkk" localSheetId="1">#REF!</definedName>
    <definedName name="kkkkkkkkkkkkkkkkkkk" localSheetId="13">#REF!</definedName>
    <definedName name="kkkkkkkkkkkkkkkkkkk" localSheetId="16">#REF!</definedName>
    <definedName name="kkkkkkkkkkkkkkkkkkk" localSheetId="19">#REF!</definedName>
    <definedName name="kkkkkkkkkkkkkkkkkkk" localSheetId="23">#REF!</definedName>
    <definedName name="kkkkkkkkkkkkkkkkkkk" localSheetId="20">#REF!</definedName>
    <definedName name="kkkkkkkkkkkkkkkkkkk" localSheetId="6">#REF!</definedName>
    <definedName name="kkkkkkkkkkkkkkkkkkk">#REF!</definedName>
    <definedName name="kkll" localSheetId="12">#REF!</definedName>
    <definedName name="kkll" localSheetId="14">#REF!</definedName>
    <definedName name="kkll" localSheetId="17">#REF!</definedName>
    <definedName name="kkll" localSheetId="11">#REF!</definedName>
    <definedName name="kkll" localSheetId="15">#REF!</definedName>
    <definedName name="kkll" localSheetId="18">#REF!</definedName>
    <definedName name="kkll" localSheetId="1">#REF!</definedName>
    <definedName name="kkll" localSheetId="13">#REF!</definedName>
    <definedName name="kkll" localSheetId="16">#REF!</definedName>
    <definedName name="kkll" localSheetId="19">#REF!</definedName>
    <definedName name="kkll" localSheetId="23">#REF!</definedName>
    <definedName name="kkll" localSheetId="20">#REF!</definedName>
    <definedName name="kkll" localSheetId="6">#REF!</definedName>
    <definedName name="kkll">#REF!</definedName>
    <definedName name="kklll" localSheetId="12">#REF!</definedName>
    <definedName name="kklll" localSheetId="14">#REF!</definedName>
    <definedName name="kklll" localSheetId="17">#REF!</definedName>
    <definedName name="kklll" localSheetId="11">#REF!</definedName>
    <definedName name="kklll" localSheetId="15">#REF!</definedName>
    <definedName name="kklll" localSheetId="18">#REF!</definedName>
    <definedName name="kklll" localSheetId="1">#REF!</definedName>
    <definedName name="kklll" localSheetId="13">#REF!</definedName>
    <definedName name="kklll" localSheetId="16">#REF!</definedName>
    <definedName name="kklll" localSheetId="19">#REF!</definedName>
    <definedName name="kklll" localSheetId="23">#REF!</definedName>
    <definedName name="kklll" localSheetId="20">#REF!</definedName>
    <definedName name="kklll" localSheetId="6">#REF!</definedName>
    <definedName name="kklll">#REF!</definedName>
    <definedName name="kl">#REF!</definedName>
    <definedName name="kllllllllll" localSheetId="11">#REF!</definedName>
    <definedName name="kllllllllll" localSheetId="15">#REF!</definedName>
    <definedName name="kllllllllll" localSheetId="18">#REF!</definedName>
    <definedName name="kllllllllll" localSheetId="23">#REF!</definedName>
    <definedName name="kllllllllll" localSheetId="20">#REF!</definedName>
    <definedName name="kllllllllll">#REF!</definedName>
    <definedName name="km">#REF!</definedName>
    <definedName name="kroef" localSheetId="11">#REF!</definedName>
    <definedName name="kroef" localSheetId="15">#REF!</definedName>
    <definedName name="kroef" localSheetId="18">#REF!</definedName>
    <definedName name="kroef" localSheetId="23">#REF!</definedName>
    <definedName name="kroef" localSheetId="20">#REF!</definedName>
    <definedName name="kroef">#REF!</definedName>
    <definedName name="LµµµµµµM" localSheetId="11">#REF!</definedName>
    <definedName name="LµµµµµµM" localSheetId="15">#REF!</definedName>
    <definedName name="LµµµµµµM" localSheetId="18">#REF!</definedName>
    <definedName name="LµµµµµµM" localSheetId="23">#REF!</definedName>
    <definedName name="LµµµµµµM" localSheetId="20">#REF!</definedName>
    <definedName name="LµµµµµµM">#REF!</definedName>
    <definedName name="lfkd" localSheetId="11">#REF!</definedName>
    <definedName name="lfkd" localSheetId="15">#REF!</definedName>
    <definedName name="lfkd" localSheetId="18">#REF!</definedName>
    <definedName name="lfkd" localSheetId="23">#REF!</definedName>
    <definedName name="lfkd" localSheetId="20">#REF!</definedName>
    <definedName name="lfkd">#REF!</definedName>
    <definedName name="LHLHOH" localSheetId="12">#REF!</definedName>
    <definedName name="LHLHOH" localSheetId="14">#REF!</definedName>
    <definedName name="LHLHOH" localSheetId="17">#REF!</definedName>
    <definedName name="LHLHOH" localSheetId="11">#REF!</definedName>
    <definedName name="LHLHOH" localSheetId="15">#REF!</definedName>
    <definedName name="LHLHOH" localSheetId="18">#REF!</definedName>
    <definedName name="LHLHOH" localSheetId="1">#REF!</definedName>
    <definedName name="LHLHOH" localSheetId="13">#REF!</definedName>
    <definedName name="LHLHOH" localSheetId="16">#REF!</definedName>
    <definedName name="LHLHOH" localSheetId="19">#REF!</definedName>
    <definedName name="LHLHOH" localSheetId="23">#REF!</definedName>
    <definedName name="LHLHOH" localSheetId="20">#REF!</definedName>
    <definedName name="LHLHOH" localSheetId="6">#REF!</definedName>
    <definedName name="LHLHOH">#REF!</definedName>
    <definedName name="LHLHOH1" localSheetId="12">#REF!</definedName>
    <definedName name="LHLHOH1" localSheetId="14">#REF!</definedName>
    <definedName name="LHLHOH1" localSheetId="17">#REF!</definedName>
    <definedName name="LHLHOH1" localSheetId="11">#REF!</definedName>
    <definedName name="LHLHOH1" localSheetId="15">#REF!</definedName>
    <definedName name="LHLHOH1" localSheetId="18">#REF!</definedName>
    <definedName name="LHLHOH1" localSheetId="1">#REF!</definedName>
    <definedName name="LHLHOH1" localSheetId="13">#REF!</definedName>
    <definedName name="LHLHOH1" localSheetId="16">#REF!</definedName>
    <definedName name="LHLHOH1" localSheetId="19">#REF!</definedName>
    <definedName name="LHLHOH1" localSheetId="23">#REF!</definedName>
    <definedName name="LHLHOH1" localSheetId="20">#REF!</definedName>
    <definedName name="LHLHOH1">#REF!</definedName>
    <definedName name="lhmkj" localSheetId="11">#REF!</definedName>
    <definedName name="lhmkj" localSheetId="15">#REF!</definedName>
    <definedName name="lhmkj" localSheetId="18">#REF!</definedName>
    <definedName name="lhmkj" localSheetId="23">#REF!</definedName>
    <definedName name="lhmkj" localSheetId="20">#REF!</definedName>
    <definedName name="lhmkj">#REF!</definedName>
    <definedName name="lkhhhm" localSheetId="11">#REF!</definedName>
    <definedName name="lkhhhm" localSheetId="15">#REF!</definedName>
    <definedName name="lkhhhm" localSheetId="18">#REF!</definedName>
    <definedName name="lkhhhm" localSheetId="23">#REF!</definedName>
    <definedName name="lkhhhm" localSheetId="20">#REF!</definedName>
    <definedName name="lkhhhm">#REF!</definedName>
    <definedName name="lkkkkkkkkkkkk" localSheetId="11">#REF!</definedName>
    <definedName name="lkkkkkkkkkkkk" localSheetId="15">#REF!</definedName>
    <definedName name="lkkkkkkkkkkkk" localSheetId="18">#REF!</definedName>
    <definedName name="lkkkkkkkkkkkk" localSheetId="23">#REF!</definedName>
    <definedName name="lkkkkkkkkkkkk" localSheetId="20">#REF!</definedName>
    <definedName name="lkkkkkkkkkkkk">#REF!</definedName>
    <definedName name="lkrjh" localSheetId="11">#REF!</definedName>
    <definedName name="lkrjh" localSheetId="15">#REF!</definedName>
    <definedName name="lkrjh" localSheetId="18">#REF!</definedName>
    <definedName name="lkrjh" localSheetId="23">#REF!</definedName>
    <definedName name="lkrjh" localSheetId="20">#REF!</definedName>
    <definedName name="lkrjh">#REF!</definedName>
    <definedName name="llf" localSheetId="11">#REF!</definedName>
    <definedName name="llf" localSheetId="15">#REF!</definedName>
    <definedName name="llf" localSheetId="18">#REF!</definedName>
    <definedName name="llf" localSheetId="23">#REF!</definedName>
    <definedName name="llf" localSheetId="20">#REF!</definedName>
    <definedName name="llf">#REF!</definedName>
    <definedName name="llll" localSheetId="12">#REF!</definedName>
    <definedName name="llll" localSheetId="14">#REF!</definedName>
    <definedName name="llll" localSheetId="17">#REF!</definedName>
    <definedName name="llll" localSheetId="11">#REF!</definedName>
    <definedName name="llll" localSheetId="15">#REF!</definedName>
    <definedName name="llll" localSheetId="18">#REF!</definedName>
    <definedName name="llll" localSheetId="1">#REF!</definedName>
    <definedName name="llll" localSheetId="13">#REF!</definedName>
    <definedName name="llll" localSheetId="16">#REF!</definedName>
    <definedName name="llll" localSheetId="19">#REF!</definedName>
    <definedName name="llll" localSheetId="23">#REF!</definedName>
    <definedName name="llll" localSheetId="20">#REF!</definedName>
    <definedName name="llll" localSheetId="6">#REF!</definedName>
    <definedName name="llll">#REF!</definedName>
    <definedName name="lllll" localSheetId="12">#REF!</definedName>
    <definedName name="lllll" localSheetId="14">#REF!</definedName>
    <definedName name="lllll" localSheetId="17">#REF!</definedName>
    <definedName name="lllll" localSheetId="11">#REF!</definedName>
    <definedName name="lllll" localSheetId="15">#REF!</definedName>
    <definedName name="lllll" localSheetId="18">#REF!</definedName>
    <definedName name="lllll" localSheetId="1">#REF!</definedName>
    <definedName name="lllll" localSheetId="13">#REF!</definedName>
    <definedName name="lllll" localSheetId="16">#REF!</definedName>
    <definedName name="lllll" localSheetId="19">#REF!</definedName>
    <definedName name="lllll" localSheetId="23">#REF!</definedName>
    <definedName name="lllll" localSheetId="20">#REF!</definedName>
    <definedName name="lllll" localSheetId="6">#REF!</definedName>
    <definedName name="lllll">#REF!</definedName>
    <definedName name="LLLLLL" localSheetId="11">#REF!</definedName>
    <definedName name="LLLLLL" localSheetId="15">#REF!</definedName>
    <definedName name="LLLLLL" localSheetId="18">#REF!</definedName>
    <definedName name="LLLLLL" localSheetId="23">#REF!</definedName>
    <definedName name="LLLLLL" localSheetId="20">#REF!</definedName>
    <definedName name="LLLLLL">#REF!</definedName>
    <definedName name="lllllllllll" localSheetId="11">#REF!</definedName>
    <definedName name="lllllllllll" localSheetId="15">#REF!</definedName>
    <definedName name="lllllllllll" localSheetId="18">#REF!</definedName>
    <definedName name="lllllllllll" localSheetId="23">#REF!</definedName>
    <definedName name="lllllllllll" localSheetId="20">#REF!</definedName>
    <definedName name="lllllllllll">#REF!</definedName>
    <definedName name="lllllllom" localSheetId="11">#REF!</definedName>
    <definedName name="lllllllom" localSheetId="15">#REF!</definedName>
    <definedName name="lllllllom" localSheetId="18">#REF!</definedName>
    <definedName name="lllllllom" localSheetId="23">#REF!</definedName>
    <definedName name="lllllllom" localSheetId="20">#REF!</definedName>
    <definedName name="lllllllom">#REF!</definedName>
    <definedName name="lllook" localSheetId="12">#REF!</definedName>
    <definedName name="lllook" localSheetId="14">#REF!</definedName>
    <definedName name="lllook" localSheetId="17">#REF!</definedName>
    <definedName name="lllook" localSheetId="11">#REF!</definedName>
    <definedName name="lllook" localSheetId="15">#REF!</definedName>
    <definedName name="lllook" localSheetId="18">#REF!</definedName>
    <definedName name="lllook" localSheetId="1">#REF!</definedName>
    <definedName name="lllook" localSheetId="13">#REF!</definedName>
    <definedName name="lllook" localSheetId="16">#REF!</definedName>
    <definedName name="lllook" localSheetId="19">#REF!</definedName>
    <definedName name="lllook" localSheetId="23">#REF!</definedName>
    <definedName name="lllook" localSheetId="20">#REF!</definedName>
    <definedName name="lllook" localSheetId="6">#REF!</definedName>
    <definedName name="lllook">#REF!</definedName>
    <definedName name="lojjjjjjjjjjjj" localSheetId="11">#REF!</definedName>
    <definedName name="lojjjjjjjjjjjj" localSheetId="15">#REF!</definedName>
    <definedName name="lojjjjjjjjjjjj" localSheetId="18">#REF!</definedName>
    <definedName name="lojjjjjjjjjjjj" localSheetId="23">#REF!</definedName>
    <definedName name="lojjjjjjjjjjjj" localSheetId="20">#REF!</definedName>
    <definedName name="lojjjjjjjjjjjj">#REF!</definedName>
    <definedName name="lok" localSheetId="12">#REF!</definedName>
    <definedName name="lok" localSheetId="14">#REF!</definedName>
    <definedName name="lok" localSheetId="17">#REF!</definedName>
    <definedName name="lok" localSheetId="11">#REF!</definedName>
    <definedName name="lok" localSheetId="15">#REF!</definedName>
    <definedName name="lok" localSheetId="18">#REF!</definedName>
    <definedName name="lok" localSheetId="1">#REF!</definedName>
    <definedName name="lok" localSheetId="13">#REF!</definedName>
    <definedName name="lok" localSheetId="16">#REF!</definedName>
    <definedName name="lok" localSheetId="19">#REF!</definedName>
    <definedName name="lok" localSheetId="23">#REF!</definedName>
    <definedName name="lok" localSheetId="20">#REF!</definedName>
    <definedName name="lok" localSheetId="6">#REF!</definedName>
    <definedName name="lok">#REF!</definedName>
    <definedName name="mkljjjjj" localSheetId="11">#REF!</definedName>
    <definedName name="mkljjjjj" localSheetId="15">#REF!</definedName>
    <definedName name="mkljjjjj" localSheetId="18">#REF!</definedName>
    <definedName name="mkljjjjj" localSheetId="23">#REF!</definedName>
    <definedName name="mkljjjjj" localSheetId="20">#REF!</definedName>
    <definedName name="mkljjjjj">#REF!</definedName>
    <definedName name="mldjfff" localSheetId="11">#REF!</definedName>
    <definedName name="mldjfff" localSheetId="15">#REF!</definedName>
    <definedName name="mldjfff" localSheetId="18">#REF!</definedName>
    <definedName name="mldjfff" localSheetId="23">#REF!</definedName>
    <definedName name="mldjfff" localSheetId="20">#REF!</definedName>
    <definedName name="mldjfff">#REF!</definedName>
    <definedName name="mlll" localSheetId="12">#REF!</definedName>
    <definedName name="mlll" localSheetId="14">#REF!</definedName>
    <definedName name="mlll" localSheetId="17">#REF!</definedName>
    <definedName name="mlll" localSheetId="11">#REF!</definedName>
    <definedName name="mlll" localSheetId="15">#REF!</definedName>
    <definedName name="mlll" localSheetId="18">#REF!</definedName>
    <definedName name="mlll" localSheetId="1">#REF!</definedName>
    <definedName name="mlll" localSheetId="13">#REF!</definedName>
    <definedName name="mlll" localSheetId="16">#REF!</definedName>
    <definedName name="mlll" localSheetId="19">#REF!</definedName>
    <definedName name="mlll" localSheetId="23">#REF!</definedName>
    <definedName name="mlll" localSheetId="20">#REF!</definedName>
    <definedName name="mlll" localSheetId="6">#REF!</definedName>
    <definedName name="mlll">#REF!</definedName>
    <definedName name="mlllllllhd" localSheetId="11">#REF!</definedName>
    <definedName name="mlllllllhd" localSheetId="15">#REF!</definedName>
    <definedName name="mlllllllhd" localSheetId="18">#REF!</definedName>
    <definedName name="mlllllllhd" localSheetId="23">#REF!</definedName>
    <definedName name="mlllllllhd" localSheetId="20">#REF!</definedName>
    <definedName name="mlllllllhd">#REF!</definedName>
    <definedName name="mllmm" localSheetId="12">#REF!</definedName>
    <definedName name="mllmm" localSheetId="14">#REF!</definedName>
    <definedName name="mllmm" localSheetId="17">#REF!</definedName>
    <definedName name="mllmm" localSheetId="11">#REF!</definedName>
    <definedName name="mllmm" localSheetId="15">#REF!</definedName>
    <definedName name="mllmm" localSheetId="18">#REF!</definedName>
    <definedName name="mllmm" localSheetId="1">#REF!</definedName>
    <definedName name="mllmm" localSheetId="13">#REF!</definedName>
    <definedName name="mllmm" localSheetId="16">#REF!</definedName>
    <definedName name="mllmm" localSheetId="19">#REF!</definedName>
    <definedName name="mllmm" localSheetId="23">#REF!</definedName>
    <definedName name="mllmm" localSheetId="20">#REF!</definedName>
    <definedName name="mllmm" localSheetId="6">#REF!</definedName>
    <definedName name="mllmm">#REF!</definedName>
    <definedName name="mm" localSheetId="12">#REF!</definedName>
    <definedName name="mm" localSheetId="14">#REF!</definedName>
    <definedName name="mm" localSheetId="17">#REF!</definedName>
    <definedName name="mm" localSheetId="11">#REF!</definedName>
    <definedName name="mm" localSheetId="15">#REF!</definedName>
    <definedName name="mm" localSheetId="18">#REF!</definedName>
    <definedName name="mm" localSheetId="1">#REF!</definedName>
    <definedName name="mm" localSheetId="13">#REF!</definedName>
    <definedName name="mm" localSheetId="16">#REF!</definedName>
    <definedName name="mm" localSheetId="19">#REF!</definedName>
    <definedName name="mm" localSheetId="23">#REF!</definedName>
    <definedName name="mm" localSheetId="20">#REF!</definedName>
    <definedName name="mm" localSheetId="6">#REF!</definedName>
    <definedName name="mm">#REF!</definedName>
    <definedName name="mmlkjtr" localSheetId="12">#REF!</definedName>
    <definedName name="mmlkjtr" localSheetId="14">#REF!</definedName>
    <definedName name="mmlkjtr" localSheetId="17">#REF!</definedName>
    <definedName name="mmlkjtr" localSheetId="11">#REF!</definedName>
    <definedName name="mmlkjtr" localSheetId="15">#REF!</definedName>
    <definedName name="mmlkjtr" localSheetId="18">#REF!</definedName>
    <definedName name="mmlkjtr" localSheetId="1">#REF!</definedName>
    <definedName name="mmlkjtr" localSheetId="13">#REF!</definedName>
    <definedName name="mmlkjtr" localSheetId="16">#REF!</definedName>
    <definedName name="mmlkjtr" localSheetId="19">#REF!</definedName>
    <definedName name="mmlkjtr" localSheetId="23">#REF!</definedName>
    <definedName name="mmlkjtr" localSheetId="20">#REF!</definedName>
    <definedName name="mmlkjtr">#REF!</definedName>
    <definedName name="mmmm" localSheetId="12">#REF!</definedName>
    <definedName name="mmmm" localSheetId="14">#REF!</definedName>
    <definedName name="mmmm" localSheetId="17">#REF!</definedName>
    <definedName name="mmmm" localSheetId="11">#REF!</definedName>
    <definedName name="mmmm" localSheetId="15">#REF!</definedName>
    <definedName name="mmmm" localSheetId="18">#REF!</definedName>
    <definedName name="mmmm" localSheetId="1">#REF!</definedName>
    <definedName name="mmmm" localSheetId="13">#REF!</definedName>
    <definedName name="mmmm" localSheetId="16">#REF!</definedName>
    <definedName name="mmmm" localSheetId="19">#REF!</definedName>
    <definedName name="mmmm" localSheetId="23">#REF!</definedName>
    <definedName name="mmmm" localSheetId="20">#REF!</definedName>
    <definedName name="mmmm" localSheetId="6">#REF!</definedName>
    <definedName name="mmmm">#REF!</definedName>
    <definedName name="n" localSheetId="12">#REF!</definedName>
    <definedName name="n" localSheetId="14">#REF!</definedName>
    <definedName name="n" localSheetId="17">#REF!</definedName>
    <definedName name="n" localSheetId="11">#REF!</definedName>
    <definedName name="n" localSheetId="15">#REF!</definedName>
    <definedName name="n" localSheetId="18">#REF!</definedName>
    <definedName name="n" localSheetId="1">#REF!</definedName>
    <definedName name="n" localSheetId="13">#REF!</definedName>
    <definedName name="n" localSheetId="16">#REF!</definedName>
    <definedName name="n" localSheetId="19">#REF!</definedName>
    <definedName name="n" localSheetId="23">#REF!</definedName>
    <definedName name="n" localSheetId="20">#REF!</definedName>
    <definedName name="n" localSheetId="6">#REF!</definedName>
    <definedName name="n">#REF!</definedName>
    <definedName name="NEANT" localSheetId="12">#REF!</definedName>
    <definedName name="NEANT" localSheetId="14">#REF!</definedName>
    <definedName name="NEANT" localSheetId="17">#REF!</definedName>
    <definedName name="NEANT" localSheetId="11">#REF!</definedName>
    <definedName name="NEANT" localSheetId="15">#REF!</definedName>
    <definedName name="NEANT" localSheetId="18">#REF!</definedName>
    <definedName name="NEANT" localSheetId="1">#REF!</definedName>
    <definedName name="NEANT" localSheetId="13">#REF!</definedName>
    <definedName name="NEANT" localSheetId="16">#REF!</definedName>
    <definedName name="NEANT" localSheetId="19">#REF!</definedName>
    <definedName name="NEANT" localSheetId="23">#REF!</definedName>
    <definedName name="NEANT" localSheetId="20">#REF!</definedName>
    <definedName name="NEANT" localSheetId="6">#REF!</definedName>
    <definedName name="NEANT">#REF!</definedName>
    <definedName name="nklf" localSheetId="11">#REF!</definedName>
    <definedName name="nklf" localSheetId="15">#REF!</definedName>
    <definedName name="nklf" localSheetId="18">#REF!</definedName>
    <definedName name="nklf" localSheetId="23">#REF!</definedName>
    <definedName name="nklf" localSheetId="20">#REF!</definedName>
    <definedName name="nklf">#REF!</definedName>
    <definedName name="nnnn" localSheetId="12">#REF!</definedName>
    <definedName name="nnnn" localSheetId="14">#REF!</definedName>
    <definedName name="nnnn" localSheetId="17">#REF!</definedName>
    <definedName name="nnnn" localSheetId="11">#REF!</definedName>
    <definedName name="nnnn" localSheetId="15">#REF!</definedName>
    <definedName name="nnnn" localSheetId="18">#REF!</definedName>
    <definedName name="nnnn" localSheetId="1">#REF!</definedName>
    <definedName name="nnnn" localSheetId="13">#REF!</definedName>
    <definedName name="nnnn" localSheetId="16">#REF!</definedName>
    <definedName name="nnnn" localSheetId="19">#REF!</definedName>
    <definedName name="nnnn" localSheetId="23">#REF!</definedName>
    <definedName name="nnnn" localSheetId="20">#REF!</definedName>
    <definedName name="nnnn" localSheetId="6">#REF!</definedName>
    <definedName name="nnnn">#REF!</definedName>
    <definedName name="NNNNNN" localSheetId="12">#REF!</definedName>
    <definedName name="NNNNNN" localSheetId="14">#REF!</definedName>
    <definedName name="NNNNNN" localSheetId="17">#REF!</definedName>
    <definedName name="NNNNNN" localSheetId="11">#REF!</definedName>
    <definedName name="NNNNNN" localSheetId="15">#REF!</definedName>
    <definedName name="NNNNNN" localSheetId="18">#REF!</definedName>
    <definedName name="NNNNNN" localSheetId="1">#REF!</definedName>
    <definedName name="NNNNNN" localSheetId="13">#REF!</definedName>
    <definedName name="NNNNNN" localSheetId="16">#REF!</definedName>
    <definedName name="NNNNNN" localSheetId="19">#REF!</definedName>
    <definedName name="NNNNNN" localSheetId="23">#REF!</definedName>
    <definedName name="NNNNNN" localSheetId="20">#REF!</definedName>
    <definedName name="NNNNNN" localSheetId="6">#REF!</definedName>
    <definedName name="NNNNNN">#REF!</definedName>
    <definedName name="nnnnnnnn" localSheetId="11">#REF!</definedName>
    <definedName name="nnnnnnnn" localSheetId="15">#REF!</definedName>
    <definedName name="nnnnnnnn" localSheetId="18">#REF!</definedName>
    <definedName name="nnnnnnnn" localSheetId="23">#REF!</definedName>
    <definedName name="nnnnnnnn" localSheetId="20">#REF!</definedName>
    <definedName name="nnnnnnnn">#REF!</definedName>
    <definedName name="NNNNNNNNNNNNJJJ" localSheetId="11">#REF!</definedName>
    <definedName name="NNNNNNNNNNNNJJJ" localSheetId="15">#REF!</definedName>
    <definedName name="NNNNNNNNNNNNJJJ" localSheetId="18">#REF!</definedName>
    <definedName name="NNNNNNNNNNNNJJJ" localSheetId="23">#REF!</definedName>
    <definedName name="NNNNNNNNNNNNJJJ" localSheetId="20">#REF!</definedName>
    <definedName name="NNNNNNNNNNNNJJJ">#REF!</definedName>
    <definedName name="NVN" localSheetId="11">#REF!</definedName>
    <definedName name="NVN" localSheetId="15">#REF!</definedName>
    <definedName name="NVN" localSheetId="18">#REF!</definedName>
    <definedName name="NVN" localSheetId="23">#REF!</definedName>
    <definedName name="NVN" localSheetId="20">#REF!</definedName>
    <definedName name="NVN">#REF!</definedName>
    <definedName name="oîdsjgru" localSheetId="11">#REF!</definedName>
    <definedName name="oîdsjgru" localSheetId="15">#REF!</definedName>
    <definedName name="oîdsjgru" localSheetId="18">#REF!</definedName>
    <definedName name="oîdsjgru" localSheetId="23">#REF!</definedName>
    <definedName name="oîdsjgru" localSheetId="20">#REF!</definedName>
    <definedName name="oîdsjgru">#REF!</definedName>
    <definedName name="oiin" localSheetId="12">#REF!</definedName>
    <definedName name="oiin" localSheetId="14">#REF!</definedName>
    <definedName name="oiin" localSheetId="17">#REF!</definedName>
    <definedName name="oiin" localSheetId="11">#REF!</definedName>
    <definedName name="oiin" localSheetId="15">#REF!</definedName>
    <definedName name="oiin" localSheetId="18">#REF!</definedName>
    <definedName name="oiin" localSheetId="1">#REF!</definedName>
    <definedName name="oiin" localSheetId="13">#REF!</definedName>
    <definedName name="oiin" localSheetId="16">#REF!</definedName>
    <definedName name="oiin" localSheetId="19">#REF!</definedName>
    <definedName name="oiin" localSheetId="23">#REF!</definedName>
    <definedName name="oiin" localSheetId="20">#REF!</definedName>
    <definedName name="oiin" localSheetId="6">#REF!</definedName>
    <definedName name="oiin">#REF!</definedName>
    <definedName name="oojkk" localSheetId="11">#REF!</definedName>
    <definedName name="oojkk" localSheetId="15">#REF!</definedName>
    <definedName name="oojkk" localSheetId="18">#REF!</definedName>
    <definedName name="oojkk" localSheetId="23">#REF!</definedName>
    <definedName name="oojkk" localSheetId="20">#REF!</definedName>
    <definedName name="oojkk">#REF!</definedName>
    <definedName name="oooooo" localSheetId="12">#REF!</definedName>
    <definedName name="oooooo" localSheetId="14">#REF!</definedName>
    <definedName name="oooooo" localSheetId="17">#REF!</definedName>
    <definedName name="oooooo" localSheetId="11">#REF!</definedName>
    <definedName name="oooooo" localSheetId="15">#REF!</definedName>
    <definedName name="oooooo" localSheetId="18">#REF!</definedName>
    <definedName name="oooooo" localSheetId="1">#REF!</definedName>
    <definedName name="oooooo" localSheetId="13">#REF!</definedName>
    <definedName name="oooooo" localSheetId="16">#REF!</definedName>
    <definedName name="oooooo" localSheetId="19">#REF!</definedName>
    <definedName name="oooooo" localSheetId="23">#REF!</definedName>
    <definedName name="oooooo" localSheetId="20">#REF!</definedName>
    <definedName name="oooooo" localSheetId="6">#REF!</definedName>
    <definedName name="oooooo">#REF!</definedName>
    <definedName name="ooooookp" localSheetId="11">#REF!</definedName>
    <definedName name="ooooookp" localSheetId="15">#REF!</definedName>
    <definedName name="ooooookp" localSheetId="18">#REF!</definedName>
    <definedName name="ooooookp" localSheetId="23">#REF!</definedName>
    <definedName name="ooooookp" localSheetId="20">#REF!</definedName>
    <definedName name="ooooookp">#REF!</definedName>
    <definedName name="OOOOOOO" localSheetId="12">#REF!</definedName>
    <definedName name="OOOOOOO" localSheetId="14">#REF!</definedName>
    <definedName name="OOOOOOO" localSheetId="17">#REF!</definedName>
    <definedName name="OOOOOOO" localSheetId="11">#REF!</definedName>
    <definedName name="OOOOOOO" localSheetId="15">#REF!</definedName>
    <definedName name="OOOOOOO" localSheetId="18">#REF!</definedName>
    <definedName name="OOOOOOO" localSheetId="1">#REF!</definedName>
    <definedName name="OOOOOOO" localSheetId="13">#REF!</definedName>
    <definedName name="OOOOOOO" localSheetId="16">#REF!</definedName>
    <definedName name="OOOOOOO" localSheetId="19">#REF!</definedName>
    <definedName name="OOOOOOO" localSheetId="23">#REF!</definedName>
    <definedName name="OOOOOOO" localSheetId="20">#REF!</definedName>
    <definedName name="OOOOOOO" localSheetId="6">#REF!</definedName>
    <definedName name="OOOOOOO">#REF!</definedName>
    <definedName name="ooooooooooo" localSheetId="11">#REF!</definedName>
    <definedName name="ooooooooooo" localSheetId="15">#REF!</definedName>
    <definedName name="ooooooooooo" localSheetId="18">#REF!</definedName>
    <definedName name="ooooooooooo" localSheetId="23">#REF!</definedName>
    <definedName name="ooooooooooo" localSheetId="20">#REF!</definedName>
    <definedName name="ooooooooooo">#REF!</definedName>
    <definedName name="pmmmm" localSheetId="12">#REF!</definedName>
    <definedName name="pmmmm" localSheetId="14">#REF!</definedName>
    <definedName name="pmmmm" localSheetId="17">#REF!</definedName>
    <definedName name="pmmmm" localSheetId="11">#REF!</definedName>
    <definedName name="pmmmm" localSheetId="15">#REF!</definedName>
    <definedName name="pmmmm" localSheetId="18">#REF!</definedName>
    <definedName name="pmmmm" localSheetId="1">#REF!</definedName>
    <definedName name="pmmmm" localSheetId="13">#REF!</definedName>
    <definedName name="pmmmm" localSheetId="16">#REF!</definedName>
    <definedName name="pmmmm" localSheetId="19">#REF!</definedName>
    <definedName name="pmmmm" localSheetId="23">#REF!</definedName>
    <definedName name="pmmmm" localSheetId="20">#REF!</definedName>
    <definedName name="pmmmm" localSheetId="6">#REF!</definedName>
    <definedName name="pmmmm">#REF!</definedName>
    <definedName name="pmty5" localSheetId="12">#REF!</definedName>
    <definedName name="pmty5" localSheetId="14">#REF!</definedName>
    <definedName name="pmty5" localSheetId="17">#REF!</definedName>
    <definedName name="pmty5" localSheetId="11">#REF!</definedName>
    <definedName name="pmty5" localSheetId="15">#REF!</definedName>
    <definedName name="pmty5" localSheetId="18">#REF!</definedName>
    <definedName name="pmty5" localSheetId="1">#REF!</definedName>
    <definedName name="pmty5" localSheetId="13">#REF!</definedName>
    <definedName name="pmty5" localSheetId="16">#REF!</definedName>
    <definedName name="pmty5" localSheetId="19">#REF!</definedName>
    <definedName name="pmty5" localSheetId="23">#REF!</definedName>
    <definedName name="pmty5" localSheetId="20">#REF!</definedName>
    <definedName name="pmty5" localSheetId="6">#REF!</definedName>
    <definedName name="pmty5">#REF!</definedName>
    <definedName name="PNIDDELTAMCHEKETT2017" localSheetId="11">#REF!</definedName>
    <definedName name="PNIDDELTAMCHEKETT2017" localSheetId="15">#REF!</definedName>
    <definedName name="PNIDDELTAMCHEKETT2017" localSheetId="18">#REF!</definedName>
    <definedName name="PNIDDELTAMCHEKETT2017" localSheetId="23">#REF!</definedName>
    <definedName name="PNIDDELTAMCHEKETT2017" localSheetId="20">#REF!</definedName>
    <definedName name="PNIDDELTAMCHEKETT2017">#REF!</definedName>
    <definedName name="posdkf" localSheetId="11">#REF!</definedName>
    <definedName name="posdkf" localSheetId="15">#REF!</definedName>
    <definedName name="posdkf" localSheetId="18">#REF!</definedName>
    <definedName name="posdkf" localSheetId="23">#REF!</definedName>
    <definedName name="posdkf" localSheetId="20">#REF!</definedName>
    <definedName name="posdkf">#REF!</definedName>
    <definedName name="pppp" localSheetId="12">#REF!</definedName>
    <definedName name="pppp" localSheetId="14">#REF!</definedName>
    <definedName name="pppp" localSheetId="17">#REF!</definedName>
    <definedName name="pppp" localSheetId="11">#REF!</definedName>
    <definedName name="pppp" localSheetId="15">#REF!</definedName>
    <definedName name="pppp" localSheetId="18">#REF!</definedName>
    <definedName name="pppp" localSheetId="1">#REF!</definedName>
    <definedName name="pppp" localSheetId="13">#REF!</definedName>
    <definedName name="pppp" localSheetId="16">#REF!</definedName>
    <definedName name="pppp" localSheetId="19">#REF!</definedName>
    <definedName name="pppp" localSheetId="23">#REF!</definedName>
    <definedName name="pppp" localSheetId="20">#REF!</definedName>
    <definedName name="pppp" localSheetId="6">#REF!</definedName>
    <definedName name="pppp">#REF!</definedName>
    <definedName name="ppppp" localSheetId="12">#REF!</definedName>
    <definedName name="ppppp" localSheetId="14">#REF!</definedName>
    <definedName name="ppppp" localSheetId="17">#REF!</definedName>
    <definedName name="ppppp" localSheetId="11">#REF!</definedName>
    <definedName name="ppppp" localSheetId="15">#REF!</definedName>
    <definedName name="ppppp" localSheetId="18">#REF!</definedName>
    <definedName name="ppppp" localSheetId="1">#REF!</definedName>
    <definedName name="ppppp" localSheetId="13">#REF!</definedName>
    <definedName name="ppppp" localSheetId="16">#REF!</definedName>
    <definedName name="ppppp" localSheetId="19">#REF!</definedName>
    <definedName name="ppppp" localSheetId="23">#REF!</definedName>
    <definedName name="ppppp" localSheetId="20">#REF!</definedName>
    <definedName name="ppppp" localSheetId="6">#REF!</definedName>
    <definedName name="ppppp">#REF!</definedName>
    <definedName name="pppppp" localSheetId="12">#REF!</definedName>
    <definedName name="pppppp" localSheetId="14">#REF!</definedName>
    <definedName name="pppppp" localSheetId="17">#REF!</definedName>
    <definedName name="pppppp" localSheetId="11">#REF!</definedName>
    <definedName name="pppppp" localSheetId="15">#REF!</definedName>
    <definedName name="pppppp" localSheetId="18">#REF!</definedName>
    <definedName name="pppppp" localSheetId="1">#REF!</definedName>
    <definedName name="pppppp" localSheetId="13">#REF!</definedName>
    <definedName name="pppppp" localSheetId="16">#REF!</definedName>
    <definedName name="pppppp" localSheetId="19">#REF!</definedName>
    <definedName name="pppppp" localSheetId="23">#REF!</definedName>
    <definedName name="pppppp" localSheetId="20">#REF!</definedName>
    <definedName name="pppppp" localSheetId="6">#REF!</definedName>
    <definedName name="pppppp">#REF!</definedName>
    <definedName name="ppppppppp" localSheetId="11">#REF!</definedName>
    <definedName name="ppppppppp" localSheetId="15">#REF!</definedName>
    <definedName name="ppppppppp" localSheetId="18">#REF!</definedName>
    <definedName name="ppppppppp" localSheetId="23">#REF!</definedName>
    <definedName name="ppppppppp" localSheetId="20">#REF!</definedName>
    <definedName name="ppppppppp">#REF!</definedName>
    <definedName name="pppppppppp" localSheetId="11">#REF!</definedName>
    <definedName name="pppppppppp" localSheetId="15">#REF!</definedName>
    <definedName name="pppppppppp" localSheetId="18">#REF!</definedName>
    <definedName name="pppppppppp" localSheetId="23">#REF!</definedName>
    <definedName name="pppppppppp" localSheetId="20">#REF!</definedName>
    <definedName name="pppppppppp">#REF!</definedName>
    <definedName name="ppppppppppk" localSheetId="11">#REF!</definedName>
    <definedName name="ppppppppppk" localSheetId="15">#REF!</definedName>
    <definedName name="ppppppppppk" localSheetId="18">#REF!</definedName>
    <definedName name="ppppppppppk" localSheetId="23">#REF!</definedName>
    <definedName name="ppppppppppk" localSheetId="20">#REF!</definedName>
    <definedName name="ppppppppppk">#REF!</definedName>
    <definedName name="pppppppppppppdd" localSheetId="11">#REF!</definedName>
    <definedName name="pppppppppppppdd" localSheetId="15">#REF!</definedName>
    <definedName name="pppppppppppppdd" localSheetId="18">#REF!</definedName>
    <definedName name="pppppppppppppdd" localSheetId="23">#REF!</definedName>
    <definedName name="pppppppppppppdd" localSheetId="20">#REF!</definedName>
    <definedName name="pppppppppppppdd">#REF!</definedName>
    <definedName name="ppppppppppppppppj" localSheetId="11">#REF!</definedName>
    <definedName name="ppppppppppppppppj" localSheetId="15">#REF!</definedName>
    <definedName name="ppppppppppppppppj" localSheetId="18">#REF!</definedName>
    <definedName name="ppppppppppppppppj" localSheetId="23">#REF!</definedName>
    <definedName name="ppppppppppppppppj" localSheetId="20">#REF!</definedName>
    <definedName name="ppppppppppppppppj">#REF!</definedName>
    <definedName name="PPPPPPPPPPPPPPPPKMJ" localSheetId="11">#REF!</definedName>
    <definedName name="PPPPPPPPPPPPPPPPKMJ" localSheetId="15">#REF!</definedName>
    <definedName name="PPPPPPPPPPPPPPPPKMJ" localSheetId="18">#REF!</definedName>
    <definedName name="PPPPPPPPPPPPPPPPKMJ" localSheetId="23">#REF!</definedName>
    <definedName name="PPPPPPPPPPPPPPPPKMJ" localSheetId="20">#REF!</definedName>
    <definedName name="PPPPPPPPPPPPPPPPKMJ">#REF!</definedName>
    <definedName name="pppppppppppppppppppppp" localSheetId="12">#REF!</definedName>
    <definedName name="pppppppppppppppppppppp" localSheetId="14">#REF!</definedName>
    <definedName name="pppppppppppppppppppppp" localSheetId="17">#REF!</definedName>
    <definedName name="pppppppppppppppppppppp" localSheetId="11">#REF!</definedName>
    <definedName name="pppppppppppppppppppppp" localSheetId="15">#REF!</definedName>
    <definedName name="pppppppppppppppppppppp" localSheetId="18">#REF!</definedName>
    <definedName name="pppppppppppppppppppppp" localSheetId="1">#REF!</definedName>
    <definedName name="pppppppppppppppppppppp" localSheetId="13">#REF!</definedName>
    <definedName name="pppppppppppppppppppppp" localSheetId="16">#REF!</definedName>
    <definedName name="pppppppppppppppppppppp" localSheetId="19">#REF!</definedName>
    <definedName name="pppppppppppppppppppppp" localSheetId="23">#REF!</definedName>
    <definedName name="pppppppppppppppppppppp" localSheetId="20">#REF!</definedName>
    <definedName name="pppppppppppppppppppppp" localSheetId="6">#REF!</definedName>
    <definedName name="pppppppppppppppppppppp">#REF!</definedName>
    <definedName name="ql" localSheetId="11">#REF!</definedName>
    <definedName name="ql" localSheetId="15">#REF!</definedName>
    <definedName name="ql" localSheetId="18">#REF!</definedName>
    <definedName name="ql" localSheetId="23">#REF!</definedName>
    <definedName name="ql" localSheetId="20">#REF!</definedName>
    <definedName name="ql">#REF!</definedName>
    <definedName name="Ra" localSheetId="12">#REF!</definedName>
    <definedName name="Ra" localSheetId="14">#REF!</definedName>
    <definedName name="Ra" localSheetId="17">#REF!</definedName>
    <definedName name="Ra" localSheetId="11">#REF!</definedName>
    <definedName name="Ra" localSheetId="15">#REF!</definedName>
    <definedName name="Ra" localSheetId="18">#REF!</definedName>
    <definedName name="Ra" localSheetId="1">#REF!</definedName>
    <definedName name="Ra" localSheetId="13">#REF!</definedName>
    <definedName name="Ra" localSheetId="16">#REF!</definedName>
    <definedName name="Ra" localSheetId="19">#REF!</definedName>
    <definedName name="Ra" localSheetId="23">#REF!</definedName>
    <definedName name="Ra" localSheetId="20">#REF!</definedName>
    <definedName name="Ra">#REF!</definedName>
    <definedName name="RCHAD" localSheetId="12">#REF!</definedName>
    <definedName name="RCHAD" localSheetId="14">#REF!</definedName>
    <definedName name="RCHAD" localSheetId="17">#REF!</definedName>
    <definedName name="RCHAD" localSheetId="11">#REF!</definedName>
    <definedName name="RCHAD" localSheetId="15">#REF!</definedName>
    <definedName name="RCHAD" localSheetId="18">#REF!</definedName>
    <definedName name="RCHAD" localSheetId="1">#REF!</definedName>
    <definedName name="RCHAD" localSheetId="13">#REF!</definedName>
    <definedName name="RCHAD" localSheetId="16">#REF!</definedName>
    <definedName name="RCHAD" localSheetId="19">#REF!</definedName>
    <definedName name="RCHAD" localSheetId="23">#REF!</definedName>
    <definedName name="RCHAD" localSheetId="20">#REF!</definedName>
    <definedName name="RCHAD">#REF!</definedName>
    <definedName name="rec" localSheetId="12">#REF!</definedName>
    <definedName name="rec" localSheetId="14">#REF!</definedName>
    <definedName name="rec" localSheetId="17">#REF!</definedName>
    <definedName name="rec" localSheetId="11">#REF!</definedName>
    <definedName name="rec" localSheetId="15">#REF!</definedName>
    <definedName name="rec" localSheetId="18">#REF!</definedName>
    <definedName name="rec" localSheetId="1">#REF!</definedName>
    <definedName name="rec" localSheetId="13">#REF!</definedName>
    <definedName name="rec" localSheetId="16">#REF!</definedName>
    <definedName name="rec" localSheetId="19">#REF!</definedName>
    <definedName name="rec" localSheetId="23">#REF!</definedName>
    <definedName name="rec" localSheetId="20">#REF!</definedName>
    <definedName name="rec" localSheetId="6">#REF!</definedName>
    <definedName name="rec">#REF!</definedName>
    <definedName name="rlhkes" localSheetId="11">#REF!</definedName>
    <definedName name="rlhkes" localSheetId="15">#REF!</definedName>
    <definedName name="rlhkes" localSheetId="18">#REF!</definedName>
    <definedName name="rlhkes" localSheetId="23">#REF!</definedName>
    <definedName name="rlhkes" localSheetId="20">#REF!</definedName>
    <definedName name="rlhkes">#REF!</definedName>
    <definedName name="rr" localSheetId="11">#REF!</definedName>
    <definedName name="rr" localSheetId="15">#REF!</definedName>
    <definedName name="rr" localSheetId="18">#REF!</definedName>
    <definedName name="rr">#REF!</definedName>
    <definedName name="rrrrr" localSheetId="12">#REF!</definedName>
    <definedName name="rrrrr" localSheetId="14">#REF!</definedName>
    <definedName name="rrrrr" localSheetId="17">#REF!</definedName>
    <definedName name="rrrrr" localSheetId="11">#REF!</definedName>
    <definedName name="rrrrr" localSheetId="15">#REF!</definedName>
    <definedName name="rrrrr" localSheetId="18">#REF!</definedName>
    <definedName name="rrrrr" localSheetId="1">#REF!</definedName>
    <definedName name="rrrrr" localSheetId="13">#REF!</definedName>
    <definedName name="rrrrr" localSheetId="16">#REF!</definedName>
    <definedName name="rrrrr" localSheetId="19">#REF!</definedName>
    <definedName name="rrrrr" localSheetId="23">#REF!</definedName>
    <definedName name="rrrrr" localSheetId="20">#REF!</definedName>
    <definedName name="rrrrr" localSheetId="6">#REF!</definedName>
    <definedName name="rrrrr">#REF!</definedName>
    <definedName name="rrrrrrr" localSheetId="12">#REF!</definedName>
    <definedName name="rrrrrrr" localSheetId="14">#REF!</definedName>
    <definedName name="rrrrrrr" localSheetId="17">#REF!</definedName>
    <definedName name="rrrrrrr" localSheetId="11">#REF!</definedName>
    <definedName name="rrrrrrr" localSheetId="15">#REF!</definedName>
    <definedName name="rrrrrrr" localSheetId="18">#REF!</definedName>
    <definedName name="rrrrrrr" localSheetId="1">#REF!</definedName>
    <definedName name="rrrrrrr" localSheetId="13">#REF!</definedName>
    <definedName name="rrrrrrr" localSheetId="16">#REF!</definedName>
    <definedName name="rrrrrrr" localSheetId="19">#REF!</definedName>
    <definedName name="rrrrrrr" localSheetId="23">#REF!</definedName>
    <definedName name="rrrrrrr" localSheetId="20">#REF!</definedName>
    <definedName name="rrrrrrr" localSheetId="6">#REF!</definedName>
    <definedName name="rrrrrrr">#REF!</definedName>
    <definedName name="SGBDSFG" localSheetId="12">#REF!</definedName>
    <definedName name="SGBDSFG" localSheetId="14">#REF!</definedName>
    <definedName name="SGBDSFG" localSheetId="17">#REF!</definedName>
    <definedName name="SGBDSFG" localSheetId="11">#REF!</definedName>
    <definedName name="SGBDSFG" localSheetId="15">#REF!</definedName>
    <definedName name="SGBDSFG" localSheetId="18">#REF!</definedName>
    <definedName name="SGBDSFG" localSheetId="1">#REF!</definedName>
    <definedName name="SGBDSFG" localSheetId="13">#REF!</definedName>
    <definedName name="SGBDSFG" localSheetId="16">#REF!</definedName>
    <definedName name="SGBDSFG" localSheetId="19">#REF!</definedName>
    <definedName name="SGBDSFG" localSheetId="23">#REF!</definedName>
    <definedName name="SGBDSFG" localSheetId="20">#REF!</definedName>
    <definedName name="SGBDSFG">#REF!</definedName>
    <definedName name="slkgk" localSheetId="11">#REF!</definedName>
    <definedName name="slkgk" localSheetId="15">#REF!</definedName>
    <definedName name="slkgk" localSheetId="18">#REF!</definedName>
    <definedName name="slkgk" localSheetId="23">#REF!</definedName>
    <definedName name="slkgk" localSheetId="20">#REF!</definedName>
    <definedName name="slkgk">#REF!</definedName>
    <definedName name="SS" localSheetId="12">#REF!</definedName>
    <definedName name="SS" localSheetId="14">#REF!</definedName>
    <definedName name="SS" localSheetId="17">#REF!</definedName>
    <definedName name="SS" localSheetId="11">#REF!</definedName>
    <definedName name="SS" localSheetId="15">#REF!</definedName>
    <definedName name="SS" localSheetId="18">#REF!</definedName>
    <definedName name="SS" localSheetId="1">#REF!</definedName>
    <definedName name="SS" localSheetId="13">#REF!</definedName>
    <definedName name="SS" localSheetId="16">#REF!</definedName>
    <definedName name="SS" localSheetId="19">#REF!</definedName>
    <definedName name="SS" localSheetId="23">#REF!</definedName>
    <definedName name="SS" localSheetId="20">#REF!</definedName>
    <definedName name="SS">#REF!</definedName>
    <definedName name="Table1" localSheetId="11">#REF!</definedName>
    <definedName name="Table1" localSheetId="15">#REF!</definedName>
    <definedName name="Table1" localSheetId="18">#REF!</definedName>
    <definedName name="Table1" localSheetId="1">#REF!</definedName>
    <definedName name="Table1" localSheetId="23">#REF!</definedName>
    <definedName name="Table1" localSheetId="20">#REF!</definedName>
    <definedName name="Table1" localSheetId="6">#REF!</definedName>
    <definedName name="Table1">#REF!</definedName>
    <definedName name="TEK" localSheetId="12">#REF!</definedName>
    <definedName name="TEK" localSheetId="14">#REF!</definedName>
    <definedName name="TEK" localSheetId="17">#REF!</definedName>
    <definedName name="TEK" localSheetId="11">#REF!</definedName>
    <definedName name="TEK" localSheetId="15">#REF!</definedName>
    <definedName name="TEK" localSheetId="18">#REF!</definedName>
    <definedName name="TEK" localSheetId="1">#REF!</definedName>
    <definedName name="TEK" localSheetId="13">#REF!</definedName>
    <definedName name="TEK" localSheetId="16">#REF!</definedName>
    <definedName name="TEK" localSheetId="19">#REF!</definedName>
    <definedName name="TEK" localSheetId="23">#REF!</definedName>
    <definedName name="TEK" localSheetId="20">#REF!</definedName>
    <definedName name="TEK" localSheetId="6">#REF!</definedName>
    <definedName name="TEK">#REF!</definedName>
    <definedName name="Test" localSheetId="12">#REF!</definedName>
    <definedName name="Test" localSheetId="14">#REF!</definedName>
    <definedName name="Test" localSheetId="17">#REF!</definedName>
    <definedName name="Test" localSheetId="11">#REF!</definedName>
    <definedName name="Test" localSheetId="15">#REF!</definedName>
    <definedName name="Test" localSheetId="18">#REF!</definedName>
    <definedName name="Test" localSheetId="1">#REF!</definedName>
    <definedName name="Test" localSheetId="13">#REF!</definedName>
    <definedName name="Test" localSheetId="16">#REF!</definedName>
    <definedName name="Test" localSheetId="19">#REF!</definedName>
    <definedName name="Test" localSheetId="23">#REF!</definedName>
    <definedName name="Test" localSheetId="20">#REF!</definedName>
    <definedName name="Test" localSheetId="6">#REF!</definedName>
    <definedName name="Test">#REF!</definedName>
    <definedName name="TEST2" localSheetId="12">#REF!</definedName>
    <definedName name="TEST2" localSheetId="14">#REF!</definedName>
    <definedName name="TEST2" localSheetId="17">#REF!</definedName>
    <definedName name="TEST2" localSheetId="11">#REF!</definedName>
    <definedName name="TEST2" localSheetId="15">#REF!</definedName>
    <definedName name="TEST2" localSheetId="18">#REF!</definedName>
    <definedName name="TEST2" localSheetId="1">#REF!</definedName>
    <definedName name="TEST2" localSheetId="13">#REF!</definedName>
    <definedName name="TEST2" localSheetId="16">#REF!</definedName>
    <definedName name="TEST2" localSheetId="19">#REF!</definedName>
    <definedName name="TEST2" localSheetId="23">#REF!</definedName>
    <definedName name="TEST2" localSheetId="20">#REF!</definedName>
    <definedName name="TEST2">#REF!</definedName>
    <definedName name="TEST255" localSheetId="12">#REF!</definedName>
    <definedName name="TEST255" localSheetId="14">#REF!</definedName>
    <definedName name="TEST255" localSheetId="17">#REF!</definedName>
    <definedName name="TEST255" localSheetId="11">#REF!</definedName>
    <definedName name="TEST255" localSheetId="15">#REF!</definedName>
    <definedName name="TEST255" localSheetId="18">#REF!</definedName>
    <definedName name="TEST255" localSheetId="1">#REF!</definedName>
    <definedName name="TEST255" localSheetId="13">#REF!</definedName>
    <definedName name="TEST255" localSheetId="16">#REF!</definedName>
    <definedName name="TEST255" localSheetId="19">#REF!</definedName>
    <definedName name="TEST255" localSheetId="23">#REF!</definedName>
    <definedName name="TEST255" localSheetId="20">#REF!</definedName>
    <definedName name="TEST255">#REF!</definedName>
    <definedName name="trezk" localSheetId="11">#REF!</definedName>
    <definedName name="trezk" localSheetId="15">#REF!</definedName>
    <definedName name="trezk" localSheetId="18">#REF!</definedName>
    <definedName name="trezk" localSheetId="23">#REF!</definedName>
    <definedName name="trezk" localSheetId="20">#REF!</definedName>
    <definedName name="trezk">#REF!</definedName>
    <definedName name="ttrjgjklùqa" localSheetId="11">#REF!</definedName>
    <definedName name="ttrjgjklùqa" localSheetId="15">#REF!</definedName>
    <definedName name="ttrjgjklùqa" localSheetId="18">#REF!</definedName>
    <definedName name="ttrjgjklùqa" localSheetId="23">#REF!</definedName>
    <definedName name="ttrjgjklùqa" localSheetId="20">#REF!</definedName>
    <definedName name="ttrjgjklùqa">#REF!</definedName>
    <definedName name="tttt" localSheetId="12">#REF!</definedName>
    <definedName name="tttt" localSheetId="14">#REF!</definedName>
    <definedName name="tttt" localSheetId="17">#REF!</definedName>
    <definedName name="tttt" localSheetId="11">#REF!</definedName>
    <definedName name="tttt" localSheetId="15">#REF!</definedName>
    <definedName name="tttt" localSheetId="18">#REF!</definedName>
    <definedName name="tttt" localSheetId="1">#REF!</definedName>
    <definedName name="tttt" localSheetId="13">#REF!</definedName>
    <definedName name="tttt" localSheetId="16">#REF!</definedName>
    <definedName name="tttt" localSheetId="19">#REF!</definedName>
    <definedName name="tttt" localSheetId="23">#REF!</definedName>
    <definedName name="tttt" localSheetId="20">#REF!</definedName>
    <definedName name="tttt" localSheetId="6">#REF!</definedName>
    <definedName name="tttt">#REF!</definedName>
    <definedName name="ujjjk" localSheetId="12">#REF!</definedName>
    <definedName name="ujjjk" localSheetId="14">#REF!</definedName>
    <definedName name="ujjjk" localSheetId="17">#REF!</definedName>
    <definedName name="ujjjk" localSheetId="11">#REF!</definedName>
    <definedName name="ujjjk" localSheetId="15">#REF!</definedName>
    <definedName name="ujjjk" localSheetId="18">#REF!</definedName>
    <definedName name="ujjjk" localSheetId="1">#REF!</definedName>
    <definedName name="ujjjk" localSheetId="13">#REF!</definedName>
    <definedName name="ujjjk" localSheetId="16">#REF!</definedName>
    <definedName name="ujjjk" localSheetId="19">#REF!</definedName>
    <definedName name="ujjjk" localSheetId="23">#REF!</definedName>
    <definedName name="ujjjk" localSheetId="20">#REF!</definedName>
    <definedName name="ujjjk" localSheetId="6">#REF!</definedName>
    <definedName name="ujjjk">#REF!</definedName>
    <definedName name="ùljk" localSheetId="11">#REF!</definedName>
    <definedName name="ùljk" localSheetId="15">#REF!</definedName>
    <definedName name="ùljk" localSheetId="18">#REF!</definedName>
    <definedName name="ùljk" localSheetId="23">#REF!</definedName>
    <definedName name="ùljk" localSheetId="20">#REF!</definedName>
    <definedName name="ùljk">#REF!</definedName>
    <definedName name="UUUUUU" localSheetId="12">#REF!</definedName>
    <definedName name="UUUUUU" localSheetId="14">#REF!</definedName>
    <definedName name="UUUUUU" localSheetId="17">#REF!</definedName>
    <definedName name="UUUUUU" localSheetId="11">#REF!</definedName>
    <definedName name="UUUUUU" localSheetId="15">#REF!</definedName>
    <definedName name="UUUUUU" localSheetId="18">#REF!</definedName>
    <definedName name="UUUUUU" localSheetId="1">#REF!</definedName>
    <definedName name="UUUUUU" localSheetId="13">#REF!</definedName>
    <definedName name="UUUUUU" localSheetId="16">#REF!</definedName>
    <definedName name="UUUUUU" localSheetId="19">#REF!</definedName>
    <definedName name="UUUUUU" localSheetId="23">#REF!</definedName>
    <definedName name="UUUUUU" localSheetId="20">#REF!</definedName>
    <definedName name="UUUUUU" localSheetId="6">#REF!</definedName>
    <definedName name="UUUUUU">#REF!</definedName>
    <definedName name="uuuuuuuuuuk" localSheetId="11">#REF!</definedName>
    <definedName name="uuuuuuuuuuk" localSheetId="15">#REF!</definedName>
    <definedName name="uuuuuuuuuuk" localSheetId="18">#REF!</definedName>
    <definedName name="uuuuuuuuuuk" localSheetId="23">#REF!</definedName>
    <definedName name="uuuuuuuuuuk" localSheetId="20">#REF!</definedName>
    <definedName name="uuuuuuuuuuk">#REF!</definedName>
    <definedName name="vvv" localSheetId="12">#REF!</definedName>
    <definedName name="vvv" localSheetId="14">#REF!</definedName>
    <definedName name="vvv" localSheetId="17">#REF!</definedName>
    <definedName name="vvv" localSheetId="11">#REF!</definedName>
    <definedName name="vvv" localSheetId="15">#REF!</definedName>
    <definedName name="vvv" localSheetId="18">#REF!</definedName>
    <definedName name="vvv" localSheetId="1">#REF!</definedName>
    <definedName name="vvv" localSheetId="13">#REF!</definedName>
    <definedName name="vvv" localSheetId="16">#REF!</definedName>
    <definedName name="vvv" localSheetId="19">#REF!</definedName>
    <definedName name="vvv" localSheetId="23">#REF!</definedName>
    <definedName name="vvv" localSheetId="20">#REF!</definedName>
    <definedName name="vvv" localSheetId="6">#REF!</definedName>
    <definedName name="vvv">#REF!</definedName>
    <definedName name="VVVV" localSheetId="12">#REF!</definedName>
    <definedName name="VVVV" localSheetId="14">#REF!</definedName>
    <definedName name="VVVV" localSheetId="17">#REF!</definedName>
    <definedName name="VVVV" localSheetId="11">#REF!</definedName>
    <definedName name="VVVV" localSheetId="15">#REF!</definedName>
    <definedName name="VVVV" localSheetId="18">#REF!</definedName>
    <definedName name="VVVV" localSheetId="1">#REF!</definedName>
    <definedName name="VVVV" localSheetId="13">#REF!</definedName>
    <definedName name="VVVV" localSheetId="16">#REF!</definedName>
    <definedName name="VVVV" localSheetId="19">#REF!</definedName>
    <definedName name="VVVV" localSheetId="23">#REF!</definedName>
    <definedName name="VVVV" localSheetId="20">#REF!</definedName>
    <definedName name="VVVV" localSheetId="6">#REF!</definedName>
    <definedName name="VVVV">#REF!</definedName>
    <definedName name="VVVVV" localSheetId="12">#REF!</definedName>
    <definedName name="VVVVV" localSheetId="14">#REF!</definedName>
    <definedName name="VVVVV" localSheetId="17">#REF!</definedName>
    <definedName name="VVVVV" localSheetId="11">#REF!</definedName>
    <definedName name="VVVVV" localSheetId="15">#REF!</definedName>
    <definedName name="VVVVV" localSheetId="18">#REF!</definedName>
    <definedName name="VVVVV" localSheetId="1">#REF!</definedName>
    <definedName name="VVVVV" localSheetId="13">#REF!</definedName>
    <definedName name="VVVVV" localSheetId="16">#REF!</definedName>
    <definedName name="VVVVV" localSheetId="19">#REF!</definedName>
    <definedName name="VVVVV" localSheetId="23">#REF!</definedName>
    <definedName name="VVVVV" localSheetId="20">#REF!</definedName>
    <definedName name="VVVVV" localSheetId="6">#REF!</definedName>
    <definedName name="VVVVV">#REF!</definedName>
    <definedName name="vvvvvvvvvvvvvvv" localSheetId="12">#REF!</definedName>
    <definedName name="vvvvvvvvvvvvvvv" localSheetId="14">#REF!</definedName>
    <definedName name="vvvvvvvvvvvvvvv" localSheetId="17">#REF!</definedName>
    <definedName name="vvvvvvvvvvvvvvv" localSheetId="11">#REF!</definedName>
    <definedName name="vvvvvvvvvvvvvvv" localSheetId="15">#REF!</definedName>
    <definedName name="vvvvvvvvvvvvvvv" localSheetId="18">#REF!</definedName>
    <definedName name="vvvvvvvvvvvvvvv" localSheetId="1">#REF!</definedName>
    <definedName name="vvvvvvvvvvvvvvv" localSheetId="13">#REF!</definedName>
    <definedName name="vvvvvvvvvvvvvvv" localSheetId="16">#REF!</definedName>
    <definedName name="vvvvvvvvvvvvvvv" localSheetId="19">#REF!</definedName>
    <definedName name="vvvvvvvvvvvvvvv" localSheetId="23">#REF!</definedName>
    <definedName name="vvvvvvvvvvvvvvv" localSheetId="20">#REF!</definedName>
    <definedName name="vvvvvvvvvvvvvvv" localSheetId="6">#REF!</definedName>
    <definedName name="vvvvvvvvvvvvvvv">#REF!</definedName>
    <definedName name="y" localSheetId="12">#REF!</definedName>
    <definedName name="y" localSheetId="14">#REF!</definedName>
    <definedName name="y" localSheetId="17">#REF!</definedName>
    <definedName name="y" localSheetId="11">#REF!</definedName>
    <definedName name="y" localSheetId="15">#REF!</definedName>
    <definedName name="y" localSheetId="18">#REF!</definedName>
    <definedName name="y" localSheetId="1">#REF!</definedName>
    <definedName name="y" localSheetId="13">#REF!</definedName>
    <definedName name="y" localSheetId="16">#REF!</definedName>
    <definedName name="y" localSheetId="19">#REF!</definedName>
    <definedName name="y" localSheetId="23">#REF!</definedName>
    <definedName name="y" localSheetId="20">#REF!</definedName>
    <definedName name="y">#REF!</definedName>
    <definedName name="yyy" localSheetId="12">#REF!</definedName>
    <definedName name="yyy" localSheetId="14">#REF!</definedName>
    <definedName name="yyy" localSheetId="17">#REF!</definedName>
    <definedName name="yyy" localSheetId="11">#REF!</definedName>
    <definedName name="yyy" localSheetId="15">#REF!</definedName>
    <definedName name="yyy" localSheetId="18">#REF!</definedName>
    <definedName name="yyy" localSheetId="1">#REF!</definedName>
    <definedName name="yyy" localSheetId="13">#REF!</definedName>
    <definedName name="yyy" localSheetId="16">#REF!</definedName>
    <definedName name="yyy" localSheetId="19">#REF!</definedName>
    <definedName name="yyy" localSheetId="23">#REF!</definedName>
    <definedName name="yyy" localSheetId="20">#REF!</definedName>
    <definedName name="yyy">#REF!</definedName>
    <definedName name="_xlnm.Print_Area" localSheetId="9">ANNULLEE!$A$1:$D$21</definedName>
    <definedName name="_xlnm.Print_Area" localSheetId="11">'DEP ADEL BAGROU'!$A$1:$M$51</definedName>
    <definedName name="_xlnm.Print_Area" localSheetId="15">'DEP El MASGOULE'!$A$1:$M$26</definedName>
    <definedName name="_xlnm.Print_Area" localSheetId="18">'DEP SEIVANE'!$A$1:$M$26</definedName>
    <definedName name="_xlnm.Print_Area" localSheetId="10">'DEPEN NOTIF DRI'!$A$1:$F$53</definedName>
    <definedName name="_xlnm.Print_Area" localSheetId="1">'DEPUILLEMENT '!#REF!</definedName>
    <definedName name="_xlnm.Print_Area" localSheetId="13">'DISP ADEL BAGROU'!$A$1:$F$29</definedName>
    <definedName name="_xlnm.Print_Area" localSheetId="16">'DISP El MASGOULE'!$A$1:$F$28</definedName>
    <definedName name="_xlnm.Print_Area" localSheetId="19">'DISP SEIVANE'!$A$1:$F$28</definedName>
    <definedName name="_xlnm.Print_Area" localSheetId="22">'H CAISSE'!$A$1:$D$29</definedName>
    <definedName name="_xlnm.Print_Area" localSheetId="5">'P V '!$A$1:$J$44</definedName>
    <definedName name="_xlnm.Print_Area" localSheetId="7">'RECETTES  QUITT '!$A$1:$D$22</definedName>
    <definedName name="zzzz" localSheetId="12">#REF!</definedName>
    <definedName name="zzzz" localSheetId="14">#REF!</definedName>
    <definedName name="zzzz" localSheetId="17">#REF!</definedName>
    <definedName name="zzzz" localSheetId="11">#REF!</definedName>
    <definedName name="zzzz" localSheetId="15">#REF!</definedName>
    <definedName name="zzzz" localSheetId="18">#REF!</definedName>
    <definedName name="zzzz" localSheetId="1">#REF!</definedName>
    <definedName name="zzzz" localSheetId="13">#REF!</definedName>
    <definedName name="zzzz" localSheetId="16">#REF!</definedName>
    <definedName name="zzzz" localSheetId="19">#REF!</definedName>
    <definedName name="zzzz" localSheetId="23">#REF!</definedName>
    <definedName name="zzzz" localSheetId="20">#REF!</definedName>
    <definedName name="zzzz" localSheetId="6">#REF!</definedName>
    <definedName name="zzzz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52" l="1"/>
  <c r="E16" i="465"/>
  <c r="E15" i="450"/>
  <c r="E30" i="436"/>
  <c r="E29" i="436"/>
  <c r="E27" i="436"/>
  <c r="E26" i="436"/>
  <c r="E24" i="436"/>
  <c r="E23" i="436"/>
  <c r="L31" i="436"/>
  <c r="L40" i="436"/>
  <c r="H39" i="436"/>
  <c r="H38" i="436"/>
  <c r="H37" i="436"/>
  <c r="H36" i="436"/>
  <c r="A22" i="463" l="1"/>
  <c r="A23" i="365" l="1"/>
  <c r="A23" i="407"/>
  <c r="A28" i="294"/>
  <c r="A22" i="81"/>
  <c r="A25" i="450"/>
  <c r="A28" i="451" s="1"/>
  <c r="A26" i="449"/>
  <c r="A29" i="434"/>
  <c r="A30" i="352"/>
  <c r="A51" i="436"/>
  <c r="A53" i="51"/>
  <c r="A21" i="78"/>
  <c r="A22" i="2"/>
  <c r="A28" i="127"/>
  <c r="A27" i="383"/>
  <c r="A44" i="76"/>
  <c r="C43" i="76"/>
  <c r="A26" i="464" l="1"/>
  <c r="A26" i="465"/>
  <c r="J46" i="471"/>
  <c r="C14" i="31"/>
  <c r="Q59" i="389"/>
  <c r="D60" i="389"/>
  <c r="E60" i="389"/>
  <c r="F60" i="389"/>
  <c r="G60" i="389"/>
  <c r="H60" i="389"/>
  <c r="I60" i="389"/>
  <c r="J60" i="389"/>
  <c r="K60" i="389"/>
  <c r="L60" i="389"/>
  <c r="M60" i="389"/>
  <c r="N60" i="389"/>
  <c r="O60" i="389"/>
  <c r="P60" i="389"/>
  <c r="B60" i="389"/>
  <c r="C60" i="389"/>
  <c r="H35" i="436"/>
  <c r="H19" i="464"/>
  <c r="D14" i="468"/>
  <c r="E50" i="51"/>
  <c r="F35" i="436"/>
  <c r="G35" i="436"/>
  <c r="I35" i="436"/>
  <c r="J35" i="436"/>
  <c r="K35" i="436"/>
  <c r="E35" i="436"/>
  <c r="E19" i="449"/>
  <c r="F19" i="449"/>
  <c r="G19" i="449"/>
  <c r="I19" i="449"/>
  <c r="J19" i="449"/>
  <c r="K19" i="449"/>
  <c r="E19" i="464"/>
  <c r="F19" i="464"/>
  <c r="G19" i="464"/>
  <c r="I19" i="464"/>
  <c r="J19" i="464"/>
  <c r="K19" i="464"/>
  <c r="Q58" i="389"/>
  <c r="Q52" i="389"/>
  <c r="Q53" i="389"/>
  <c r="Q54" i="389"/>
  <c r="Q55" i="389"/>
  <c r="Q56" i="389"/>
  <c r="Q57" i="389"/>
  <c r="D16" i="294"/>
  <c r="D21" i="294"/>
  <c r="D22" i="294" s="1"/>
  <c r="A18" i="403" l="1"/>
  <c r="A28" i="466"/>
  <c r="D25" i="294"/>
  <c r="H19" i="449" l="1"/>
  <c r="E46" i="436" l="1"/>
  <c r="Q23" i="389" l="1"/>
  <c r="G46" i="436"/>
  <c r="I38" i="76"/>
  <c r="F17" i="383"/>
  <c r="F18" i="383"/>
  <c r="F19" i="383"/>
  <c r="H46" i="436" l="1"/>
  <c r="H48" i="436" s="1"/>
  <c r="F46" i="436"/>
  <c r="E18" i="465"/>
  <c r="E17" i="450"/>
  <c r="L11" i="464"/>
  <c r="L12" i="464"/>
  <c r="L13" i="464"/>
  <c r="L14" i="464"/>
  <c r="L15" i="464"/>
  <c r="L16" i="464"/>
  <c r="L17" i="464"/>
  <c r="L18" i="464"/>
  <c r="L10" i="449"/>
  <c r="L11" i="449"/>
  <c r="L12" i="449"/>
  <c r="L13" i="449"/>
  <c r="L14" i="449"/>
  <c r="L15" i="449"/>
  <c r="L16" i="449"/>
  <c r="L17" i="449"/>
  <c r="L18" i="449"/>
  <c r="E23" i="352" l="1"/>
  <c r="L9" i="436"/>
  <c r="L10" i="436"/>
  <c r="L11" i="436"/>
  <c r="L12" i="436"/>
  <c r="L13" i="436"/>
  <c r="L14" i="436"/>
  <c r="L15" i="436"/>
  <c r="L16" i="436"/>
  <c r="L17" i="436"/>
  <c r="L18" i="436"/>
  <c r="L19" i="436"/>
  <c r="L20" i="436"/>
  <c r="L21" i="436"/>
  <c r="L22" i="436"/>
  <c r="L25" i="436"/>
  <c r="L28" i="436"/>
  <c r="L32" i="436"/>
  <c r="L33" i="436"/>
  <c r="L34" i="436"/>
  <c r="L37" i="436"/>
  <c r="L38" i="436"/>
  <c r="L39" i="436"/>
  <c r="L45" i="436"/>
  <c r="L35" i="436" l="1"/>
  <c r="B64" i="389"/>
  <c r="C64" i="389"/>
  <c r="D12" i="2"/>
  <c r="D64" i="389"/>
  <c r="E64" i="389"/>
  <c r="F64" i="389"/>
  <c r="G64" i="389"/>
  <c r="H64" i="389"/>
  <c r="I64" i="389"/>
  <c r="J64" i="389"/>
  <c r="K64" i="389"/>
  <c r="L64" i="389"/>
  <c r="M64" i="389"/>
  <c r="N64" i="389"/>
  <c r="O64" i="389"/>
  <c r="A26" i="466"/>
  <c r="A24" i="465"/>
  <c r="F18" i="466"/>
  <c r="F11" i="466"/>
  <c r="A25" i="464"/>
  <c r="K21" i="464"/>
  <c r="J21" i="464"/>
  <c r="I21" i="464"/>
  <c r="E21" i="464"/>
  <c r="F19" i="466" s="1"/>
  <c r="H21" i="464"/>
  <c r="L10" i="464"/>
  <c r="L19" i="464" s="1"/>
  <c r="F21" i="466" l="1"/>
  <c r="E20" i="465"/>
  <c r="I23" i="464"/>
  <c r="D15" i="127" s="1"/>
  <c r="H23" i="464"/>
  <c r="C15" i="127" s="1"/>
  <c r="J23" i="464"/>
  <c r="E15" i="127" s="1"/>
  <c r="K23" i="464"/>
  <c r="F15" i="127" s="1"/>
  <c r="E23" i="464"/>
  <c r="I25" i="76" s="1"/>
  <c r="F12" i="466"/>
  <c r="F14" i="466" s="1"/>
  <c r="F21" i="464"/>
  <c r="F23" i="464" s="1"/>
  <c r="D15" i="2"/>
  <c r="F23" i="466" l="1"/>
  <c r="L20" i="464"/>
  <c r="L21" i="464" s="1"/>
  <c r="L23" i="464" s="1"/>
  <c r="G21" i="464"/>
  <c r="G23" i="464" s="1"/>
  <c r="B15" i="127" s="1"/>
  <c r="G15" i="127" s="1"/>
  <c r="C18" i="463" l="1"/>
  <c r="A20" i="463"/>
  <c r="A25" i="449"/>
  <c r="A50" i="436"/>
  <c r="B14" i="31"/>
  <c r="L36" i="436" l="1"/>
  <c r="D20" i="127"/>
  <c r="B20" i="127"/>
  <c r="C20" i="127"/>
  <c r="E20" i="127"/>
  <c r="F20" i="127"/>
  <c r="P64" i="389"/>
  <c r="Q12" i="389"/>
  <c r="D17" i="2" l="1"/>
  <c r="C16" i="81" l="1"/>
  <c r="I28" i="76" s="1"/>
  <c r="D18" i="2"/>
  <c r="A26" i="451" l="1"/>
  <c r="A23" i="450"/>
  <c r="F18" i="451"/>
  <c r="K21" i="449"/>
  <c r="J21" i="449"/>
  <c r="I21" i="449"/>
  <c r="I23" i="449" s="1"/>
  <c r="D14" i="127" s="1"/>
  <c r="E21" i="449"/>
  <c r="F19" i="451" s="1"/>
  <c r="F12" i="451"/>
  <c r="F21" i="451" l="1"/>
  <c r="J23" i="449"/>
  <c r="E14" i="127" s="1"/>
  <c r="E19" i="450"/>
  <c r="F11" i="451"/>
  <c r="F14" i="451" s="1"/>
  <c r="E23" i="449"/>
  <c r="I24" i="76" s="1"/>
  <c r="K23" i="449"/>
  <c r="F14" i="127" s="1"/>
  <c r="H21" i="449"/>
  <c r="F21" i="449"/>
  <c r="F23" i="451" l="1"/>
  <c r="F23" i="449"/>
  <c r="H23" i="449"/>
  <c r="C14" i="127" s="1"/>
  <c r="L20" i="449"/>
  <c r="L21" i="449" s="1"/>
  <c r="G21" i="449"/>
  <c r="L9" i="449"/>
  <c r="L19" i="449" s="1"/>
  <c r="A66" i="389"/>
  <c r="I26" i="76"/>
  <c r="D20" i="365"/>
  <c r="G23" i="449" l="1"/>
  <c r="B14" i="127" s="1"/>
  <c r="G14" i="127" s="1"/>
  <c r="L23" i="449"/>
  <c r="K46" i="436" l="1"/>
  <c r="J46" i="436"/>
  <c r="I46" i="436"/>
  <c r="E48" i="436" l="1"/>
  <c r="I23" i="76" s="1"/>
  <c r="I48" i="436"/>
  <c r="D13" i="127" s="1"/>
  <c r="F13" i="434"/>
  <c r="J48" i="436"/>
  <c r="E13" i="127" s="1"/>
  <c r="E16" i="127" s="1"/>
  <c r="K48" i="436"/>
  <c r="F13" i="127" s="1"/>
  <c r="L46" i="436"/>
  <c r="A27" i="434"/>
  <c r="F48" i="436" l="1"/>
  <c r="C13" i="127" l="1"/>
  <c r="L48" i="436"/>
  <c r="G48" i="436"/>
  <c r="B13" i="127" s="1"/>
  <c r="G13" i="127" l="1"/>
  <c r="Q13" i="389"/>
  <c r="Q60" i="389" s="1"/>
  <c r="D14" i="31" s="1"/>
  <c r="Q14" i="389"/>
  <c r="Q15" i="389"/>
  <c r="Q16" i="389"/>
  <c r="Q17" i="389"/>
  <c r="Q18" i="389"/>
  <c r="Q19" i="389"/>
  <c r="Q20" i="389"/>
  <c r="Q21" i="389"/>
  <c r="Q22" i="389"/>
  <c r="Q24" i="389"/>
  <c r="Q25" i="389"/>
  <c r="Q26" i="389"/>
  <c r="Q27" i="389"/>
  <c r="Q28" i="389"/>
  <c r="Q29" i="389"/>
  <c r="Q30" i="389"/>
  <c r="Q31" i="389"/>
  <c r="Q32" i="389"/>
  <c r="Q33" i="389"/>
  <c r="Q34" i="389"/>
  <c r="Q35" i="389"/>
  <c r="Q36" i="389"/>
  <c r="Q37" i="389"/>
  <c r="Q38" i="389"/>
  <c r="Q39" i="389"/>
  <c r="Q40" i="389"/>
  <c r="Q41" i="389"/>
  <c r="Q42" i="389"/>
  <c r="Q43" i="389"/>
  <c r="Q44" i="389"/>
  <c r="Q45" i="389"/>
  <c r="Q46" i="389"/>
  <c r="Q47" i="389"/>
  <c r="Q48" i="389"/>
  <c r="Q49" i="389"/>
  <c r="Q50" i="389"/>
  <c r="Q51" i="389"/>
  <c r="Q64" i="389" l="1"/>
  <c r="C20" i="365" l="1"/>
  <c r="A21" i="407" l="1"/>
  <c r="C19" i="407"/>
  <c r="I29" i="76" s="1"/>
  <c r="F16" i="127" l="1"/>
  <c r="D16" i="127" l="1"/>
  <c r="D13" i="403"/>
  <c r="A16" i="403"/>
  <c r="E20" i="383" l="1"/>
  <c r="G20" i="127" l="1"/>
  <c r="B20" i="383" l="1"/>
  <c r="A27" i="294"/>
  <c r="A25" i="383"/>
  <c r="F16" i="383"/>
  <c r="F20" i="383" l="1"/>
  <c r="D18" i="31" l="1"/>
  <c r="F12" i="434" l="1"/>
  <c r="F15" i="434" s="1"/>
  <c r="A22" i="365" l="1"/>
  <c r="A28" i="352" l="1"/>
  <c r="F19" i="434" l="1"/>
  <c r="F22" i="434" s="1"/>
  <c r="E25" i="352"/>
  <c r="F24" i="434" l="1"/>
  <c r="A19" i="81" l="1"/>
  <c r="B16" i="127" l="1"/>
  <c r="A52" i="51" l="1"/>
  <c r="A19" i="78" l="1"/>
  <c r="A20" i="2"/>
  <c r="I27" i="76" l="1"/>
  <c r="I30" i="76" s="1"/>
  <c r="A26" i="127" l="1"/>
  <c r="I20" i="76" l="1"/>
  <c r="C16" i="127" l="1"/>
  <c r="G16" i="127" l="1"/>
  <c r="G23" i="127" s="1"/>
  <c r="I21" i="76"/>
  <c r="I32" i="76" l="1"/>
  <c r="J39" i="76" s="1"/>
  <c r="I39" i="76" l="1"/>
</calcChain>
</file>

<file path=xl/sharedStrings.xml><?xml version="1.0" encoding="utf-8"?>
<sst xmlns="http://schemas.openxmlformats.org/spreadsheetml/2006/main" count="1197" uniqueCount="367">
  <si>
    <t>Republique Islamique de Mauritanie</t>
  </si>
  <si>
    <t>Direction Générale du Trésor et de la Comptabilité Publique</t>
  </si>
  <si>
    <t>Direction de l'Audit et du Contrôle Interne</t>
  </si>
  <si>
    <t>Montants</t>
  </si>
  <si>
    <t>Fin</t>
  </si>
  <si>
    <t>N° AD</t>
  </si>
  <si>
    <t>N° AC</t>
  </si>
  <si>
    <t>TVA</t>
  </si>
  <si>
    <t>IMF</t>
  </si>
  <si>
    <t>ITS</t>
  </si>
  <si>
    <t>MTTC</t>
  </si>
  <si>
    <t>MHT</t>
  </si>
  <si>
    <t>Debut</t>
  </si>
  <si>
    <t>CNSS</t>
  </si>
  <si>
    <t>TOTAL GENERAL DES DEPENSES</t>
  </si>
  <si>
    <t>Le Maire</t>
  </si>
  <si>
    <t>Direction de l'Audit et du Contrôle Interne du Trésor</t>
  </si>
  <si>
    <t>République Islamique de Mauritanie</t>
  </si>
  <si>
    <t>الجمهورية الإسلامية الموريتانية</t>
  </si>
  <si>
    <t xml:space="preserve">Honneur- Fraternité-Justice                      </t>
  </si>
  <si>
    <t xml:space="preserve">                                                                                                                                                             </t>
  </si>
  <si>
    <t xml:space="preserve"> </t>
  </si>
  <si>
    <t>المديرية العامة للخزينة  و المحاسبة العمومية</t>
  </si>
  <si>
    <t>إدارة التدقيق و الرقابة الداخلية</t>
  </si>
  <si>
    <t>PROCES VERBAL DE VERIFICATION DE CAISSE</t>
  </si>
  <si>
    <t>Cette vérification a donné lieu à un arrêt comptable qui se repartit comme suit:</t>
  </si>
  <si>
    <t>Honneur-Fraternité-Justice</t>
  </si>
  <si>
    <t>Décomposition du Solde:</t>
  </si>
  <si>
    <t>Dégagement de fonds</t>
  </si>
  <si>
    <t xml:space="preserve">Frais Bancaires  </t>
  </si>
  <si>
    <t>Espèce</t>
  </si>
  <si>
    <t>Soit un total de:</t>
  </si>
  <si>
    <t>Total des Dépenses de Fonctionnement</t>
  </si>
  <si>
    <t>Le Receveur municipal</t>
  </si>
  <si>
    <t xml:space="preserve"> Honneur-Fraternité-Justice</t>
  </si>
  <si>
    <t>Total des Recttes de Fonctionnement</t>
  </si>
  <si>
    <t>Total des Recttes d'Equippement</t>
  </si>
  <si>
    <t>Total des Dépenses d'équippement</t>
  </si>
  <si>
    <t xml:space="preserve">Situation des Précomptes </t>
  </si>
  <si>
    <t>Total des retenus</t>
  </si>
  <si>
    <t xml:space="preserve">                    شرف-إخاء-عدالة                                      </t>
  </si>
  <si>
    <t>Total</t>
  </si>
  <si>
    <t>Montant</t>
  </si>
  <si>
    <t>Total Général</t>
  </si>
  <si>
    <t>Date</t>
  </si>
  <si>
    <t>N° Quittance</t>
  </si>
  <si>
    <t>Nature</t>
  </si>
  <si>
    <t>Obs</t>
  </si>
  <si>
    <t>N° Notif</t>
  </si>
  <si>
    <t xml:space="preserve">Ministère 
 des Finances </t>
  </si>
  <si>
    <t xml:space="preserve">وزارة المالية </t>
  </si>
  <si>
    <t xml:space="preserve">Ministère des Finances </t>
  </si>
  <si>
    <t xml:space="preserve">Ministère des Finances 
</t>
  </si>
  <si>
    <t>Ministère des Finances</t>
  </si>
  <si>
    <t xml:space="preserve">Ministère des Finances
</t>
  </si>
  <si>
    <t>Mode de Règlement</t>
  </si>
  <si>
    <t xml:space="preserve">               Honneur - Fraternité - Justice                      </t>
  </si>
  <si>
    <t xml:space="preserve">              شرف -إخاء -عدالة                                      </t>
  </si>
  <si>
    <t xml:space="preserve">Ministère des Finances 
 </t>
  </si>
  <si>
    <t>وزارة المالية</t>
  </si>
  <si>
    <t xml:space="preserve">المديرية العامة للخزينة  و المحاسبة العمومية </t>
  </si>
  <si>
    <t xml:space="preserve">RAPPORT DE VERIFICATION </t>
  </si>
  <si>
    <t xml:space="preserve"> A signé avec nous, le jour,mois et an. </t>
  </si>
  <si>
    <t>Les Auditeurs</t>
  </si>
  <si>
    <t>CNAM</t>
  </si>
  <si>
    <t xml:space="preserve">Ministère 
et des Finances </t>
  </si>
  <si>
    <t xml:space="preserve">     Honneur-Fraternité-Justice</t>
  </si>
  <si>
    <t>Période</t>
  </si>
  <si>
    <t>CNI</t>
  </si>
  <si>
    <t>Dépenses notifiées (en DRI)</t>
  </si>
  <si>
    <t>Chèques  bancaires</t>
  </si>
  <si>
    <t>Bénéficiaire</t>
  </si>
  <si>
    <t>Situation des Dépenses Notifieés en DRI</t>
  </si>
  <si>
    <t>N° DRI</t>
  </si>
  <si>
    <t>N°</t>
  </si>
  <si>
    <t xml:space="preserve">N° </t>
  </si>
  <si>
    <t xml:space="preserve">   </t>
  </si>
  <si>
    <t>Ecart</t>
  </si>
  <si>
    <t xml:space="preserve">ITS </t>
  </si>
  <si>
    <t>TOTAUX</t>
  </si>
  <si>
    <t>RECAP</t>
  </si>
  <si>
    <t xml:space="preserve">N° Quittance </t>
  </si>
  <si>
    <t>N°AD</t>
  </si>
  <si>
    <t>Le Percepteur</t>
  </si>
  <si>
    <t xml:space="preserve">Total </t>
  </si>
  <si>
    <t>N° Pension</t>
  </si>
  <si>
    <t>Nom</t>
  </si>
  <si>
    <t>Mode de reglement</t>
  </si>
  <si>
    <t>Motif</t>
  </si>
  <si>
    <t>Le Cdt de Campagnie</t>
  </si>
  <si>
    <t>Envoi</t>
  </si>
  <si>
    <t>Reception</t>
  </si>
  <si>
    <t>Imputation</t>
  </si>
  <si>
    <t>Net à Payer</t>
  </si>
  <si>
    <t>Total Général des Recettes</t>
  </si>
  <si>
    <t xml:space="preserve">Actes et Extrait  </t>
  </si>
  <si>
    <t xml:space="preserve">CNI </t>
  </si>
  <si>
    <t xml:space="preserve">CNAM </t>
  </si>
  <si>
    <t xml:space="preserve">Timbres mobiles </t>
  </si>
  <si>
    <t>Total général</t>
  </si>
  <si>
    <t>Banque</t>
  </si>
  <si>
    <t xml:space="preserve">Total Général  </t>
  </si>
  <si>
    <t>Total  Général</t>
  </si>
  <si>
    <t>Obsérvations</t>
  </si>
  <si>
    <t>Etat de Rapprochement Recettes des amendes de la Compagnie de la Gendarmerie Nationale</t>
  </si>
  <si>
    <t>Catégorie</t>
  </si>
  <si>
    <t>AC</t>
  </si>
  <si>
    <t>Chèques du Trésor</t>
  </si>
  <si>
    <t>BMI (Moudoun)</t>
  </si>
  <si>
    <t>MAURIPOST</t>
  </si>
  <si>
    <t>Reçu de Quittance</t>
  </si>
  <si>
    <t xml:space="preserve">d’où il ressort un Solde Créditeur de </t>
  </si>
  <si>
    <t>Montant Net à payer</t>
  </si>
  <si>
    <t>l'Objet</t>
  </si>
  <si>
    <t>Autres recettes non fiscales diverses</t>
  </si>
  <si>
    <t xml:space="preserve"> CNSS  </t>
  </si>
  <si>
    <t xml:space="preserve">Extrai </t>
  </si>
  <si>
    <t xml:space="preserve">Fonds d'Intervention pour l'environnement </t>
  </si>
  <si>
    <t>Réception de fonds</t>
  </si>
  <si>
    <t>Brigade</t>
  </si>
  <si>
    <t>Disponible de Fonctionnement au 31/12/2023</t>
  </si>
  <si>
    <t>Disponible d'équippement au 31/12/2023</t>
  </si>
  <si>
    <t>Situation du Disponible au 31/12/2023</t>
  </si>
  <si>
    <t>Pensions</t>
  </si>
  <si>
    <t>Amendes F</t>
  </si>
  <si>
    <t xml:space="preserve"> PERCEPTION De ADEL BAGROU</t>
  </si>
  <si>
    <t>POUR LA PERIODE DU 21/07/2023  AU 31/12/2023</t>
  </si>
  <si>
    <t>Dépenses de la Commune de Adel Bagrou</t>
  </si>
  <si>
    <t>Dépenses de la Commune de El Masgoule</t>
  </si>
  <si>
    <t>COMMUNE DE ADEL BAGROU</t>
  </si>
  <si>
    <t>Situation des Dépenses  de la Commune de El Masgoule</t>
  </si>
  <si>
    <t>COMMUNE DE El MASGOULE</t>
  </si>
  <si>
    <t>C. Adel Bagrou</t>
  </si>
  <si>
    <t>C. El Masgoule</t>
  </si>
  <si>
    <t>C. Seivane</t>
  </si>
  <si>
    <t>Dépenses de la Commune de Seivane</t>
  </si>
  <si>
    <t xml:space="preserve">C. Adel Bagrou </t>
  </si>
  <si>
    <t xml:space="preserve">C. Seivane </t>
  </si>
  <si>
    <t>Situation des Dépenses  de la Commune de Seivane</t>
  </si>
  <si>
    <t>COMMUNE DE SEIVANE</t>
  </si>
  <si>
    <t>Situation des Dépenses  de la Commune de Adel Bagrou</t>
  </si>
  <si>
    <t>Situation des Recettes de la Commune de Adel Bagrou</t>
  </si>
  <si>
    <t>Situation des Recettes de la Commune de El Masgoule</t>
  </si>
  <si>
    <t>Situation des Recettes de la Commune de Seivane</t>
  </si>
  <si>
    <t>6.1.02.4.1</t>
  </si>
  <si>
    <t>6.1.01.2</t>
  </si>
  <si>
    <t>6.1.01.1</t>
  </si>
  <si>
    <t>6.1.03.1</t>
  </si>
  <si>
    <t>6.1.03.2</t>
  </si>
  <si>
    <t>6.1.02.5.2</t>
  </si>
  <si>
    <t>6.1.02.7.2</t>
  </si>
  <si>
    <t>6.5.02.2</t>
  </si>
  <si>
    <t>6.1.02.2.2</t>
  </si>
  <si>
    <t>6.1.02.3.1</t>
  </si>
  <si>
    <t>6.1.02.2.1</t>
  </si>
  <si>
    <t>6.1.02.2.3</t>
  </si>
  <si>
    <t>6.1.02.5.1</t>
  </si>
  <si>
    <t>6.0.01</t>
  </si>
  <si>
    <t>6.0.03</t>
  </si>
  <si>
    <t>6.0.08</t>
  </si>
  <si>
    <t>6.0.15</t>
  </si>
  <si>
    <t>6.0.10.2</t>
  </si>
  <si>
    <t>2.3.02</t>
  </si>
  <si>
    <t>2.2.02.3</t>
  </si>
  <si>
    <t>2.2.01.2.2</t>
  </si>
  <si>
    <t>6.1.02.6.1</t>
  </si>
  <si>
    <t>Le Chef de Centre</t>
  </si>
  <si>
    <t>I- Mahdra 2023</t>
  </si>
  <si>
    <t>Total CNAM et CNSS Mandaté</t>
  </si>
  <si>
    <t xml:space="preserve"> Ecart                                                                                                                                                                           </t>
  </si>
  <si>
    <t>Total 1</t>
  </si>
  <si>
    <t>Total  2</t>
  </si>
  <si>
    <t>Divers</t>
  </si>
  <si>
    <t>Personnel Tp</t>
  </si>
  <si>
    <t>Personnel P</t>
  </si>
  <si>
    <t>Le receveur</t>
  </si>
  <si>
    <t>Adjts Aux Maire</t>
  </si>
  <si>
    <t>Adjts aux Maire</t>
  </si>
  <si>
    <t>Le SG</t>
  </si>
  <si>
    <t>Personnel TP</t>
  </si>
  <si>
    <t>CH2004760836</t>
  </si>
  <si>
    <t>Ets Mzeimid</t>
  </si>
  <si>
    <t>OV12</t>
  </si>
  <si>
    <t>OV10</t>
  </si>
  <si>
    <t>Cheikhna Mousleh</t>
  </si>
  <si>
    <t>Dah Taghi</t>
  </si>
  <si>
    <t>CH2004760838</t>
  </si>
  <si>
    <t>OV17</t>
  </si>
  <si>
    <t>OV24</t>
  </si>
  <si>
    <t>CH2004760843</t>
  </si>
  <si>
    <t>OV25</t>
  </si>
  <si>
    <t>20/11/202</t>
  </si>
  <si>
    <t>ATB</t>
  </si>
  <si>
    <t>OV19</t>
  </si>
  <si>
    <t>Neny Mahfoudh</t>
  </si>
  <si>
    <t>CH2004760841</t>
  </si>
  <si>
    <t>OV19-18000 Espèce</t>
  </si>
  <si>
    <t>OV21</t>
  </si>
  <si>
    <t>OV23</t>
  </si>
  <si>
    <t>OV18</t>
  </si>
  <si>
    <t>OV28</t>
  </si>
  <si>
    <t>CH2004760840</t>
  </si>
  <si>
    <t>OV20</t>
  </si>
  <si>
    <t>Ets Malik</t>
  </si>
  <si>
    <t>OV29</t>
  </si>
  <si>
    <t>SVN</t>
  </si>
  <si>
    <t>Frais de reception</t>
  </si>
  <si>
    <t>OV26</t>
  </si>
  <si>
    <t>Fourniture de bureau</t>
  </si>
  <si>
    <t>Carburant</t>
  </si>
  <si>
    <t>Frais de transport</t>
  </si>
  <si>
    <t>Frais de mission</t>
  </si>
  <si>
    <t>Frais de formation</t>
  </si>
  <si>
    <t>Reperation de bat.adm</t>
  </si>
  <si>
    <t>Autres achat</t>
  </si>
  <si>
    <t>Med Brahim</t>
  </si>
  <si>
    <t>OV22</t>
  </si>
  <si>
    <t>OV27</t>
  </si>
  <si>
    <t>Autres frais de mission et de transp</t>
  </si>
  <si>
    <t>OV16</t>
  </si>
  <si>
    <t>Honoraires</t>
  </si>
  <si>
    <t>Personnel CS</t>
  </si>
  <si>
    <t>OV14</t>
  </si>
  <si>
    <t>OV15</t>
  </si>
  <si>
    <t>OV13</t>
  </si>
  <si>
    <t>CH2004760833</t>
  </si>
  <si>
    <t>OV09</t>
  </si>
  <si>
    <t>OV11</t>
  </si>
  <si>
    <t>OV31</t>
  </si>
  <si>
    <t>OV32</t>
  </si>
  <si>
    <t>OV30</t>
  </si>
  <si>
    <t>Apui annuel aux mahdara</t>
  </si>
  <si>
    <t>Le hakem et hakem moucaid</t>
  </si>
  <si>
    <t>Nombre</t>
  </si>
  <si>
    <t>Montant total</t>
  </si>
  <si>
    <t>II - Subventions des Mosquées 2023</t>
  </si>
  <si>
    <t>N° liste</t>
  </si>
  <si>
    <t>Sid Ahmed Ebi</t>
  </si>
  <si>
    <t>Heida Yemehlou</t>
  </si>
  <si>
    <t>Sid Ahmed Beih</t>
  </si>
  <si>
    <t>Naji Boune</t>
  </si>
  <si>
    <t xml:space="preserve">Montant </t>
  </si>
  <si>
    <t>CH2004760847</t>
  </si>
  <si>
    <t>6.0.22.2</t>
  </si>
  <si>
    <t>6.0.04</t>
  </si>
  <si>
    <t>Cheikh Med Lemine</t>
  </si>
  <si>
    <t>6.5.02.3</t>
  </si>
  <si>
    <t>OVBMI 15/11</t>
  </si>
  <si>
    <t>DRI</t>
  </si>
  <si>
    <t xml:space="preserve"> Précomptes Quittancés</t>
  </si>
  <si>
    <t>Mauripost N°11216650121-38</t>
  </si>
  <si>
    <t>BMI N°10000028839</t>
  </si>
  <si>
    <t>ELMSGL</t>
  </si>
  <si>
    <t>ADEL B</t>
  </si>
  <si>
    <t xml:space="preserve">Excédent Solde de la banque </t>
  </si>
  <si>
    <t>OV 03/10/2023</t>
  </si>
  <si>
    <t>DEPUILLEMENT DES RECETTES DU 01/01/2024 au 15/05/2024</t>
  </si>
  <si>
    <t>du 01/01/2024 au 15/05/2024</t>
  </si>
  <si>
    <t>Situation des Approvisionnements du 01/01/2024 au 15/05/2024</t>
  </si>
  <si>
    <t>Situation des Recettes du 01/01/2024 au 15/05/2024</t>
  </si>
  <si>
    <t>Situation des Dégagement des Fonds du 01/01/2024 au 15/05/2024</t>
  </si>
  <si>
    <t>Situation des quittances annulées du 01/01/2024 au 15/05/2024</t>
  </si>
  <si>
    <t>Pour la Période du 01/01/2024 au 15/05/2024</t>
  </si>
  <si>
    <t>Les  Rejets du 01/01/2024 au 15/05/2024</t>
  </si>
  <si>
    <t xml:space="preserve"> Situation des Charges Bancaires et Agios du 01/01/2024 au 15/05/2024</t>
  </si>
  <si>
    <t>Situation des Pensions du 01/01/2024 au 15/05/2024</t>
  </si>
  <si>
    <t>Etat de Rapprochement Recettes de l'Etat Civil  (CAC Adel Bgrou) du 01/01/2024 au 15/05/2024</t>
  </si>
  <si>
    <t>Solde au 31/12/2023</t>
  </si>
  <si>
    <t>Recettes du 01/01/2024 au 15/05/2024</t>
  </si>
  <si>
    <t>Total Général des Dépenses du 01/01/2024 au 15/05/2024</t>
  </si>
  <si>
    <t>Poste Comptable: Perception d'Adel Begrou</t>
  </si>
  <si>
    <t>Situation des Hors Caisse 2023 au 15/05/2024</t>
  </si>
  <si>
    <t>Situation du Disponible au 15/05/2024</t>
  </si>
  <si>
    <t>Recettes de Fonctionnement du 01/01 au 15/05/2024</t>
  </si>
  <si>
    <t>Dépenses de Fonctionnement du 01/01 au 15/05/2024</t>
  </si>
  <si>
    <t>Recettes d'équippement du 01/01 au 15/05/2024</t>
  </si>
  <si>
    <t>Dépenses d'équippement du 01/01 au 15/05/2024</t>
  </si>
  <si>
    <t>Disponible de Fonctionnement au 15/05/2024</t>
  </si>
  <si>
    <t>Disponible d'équippement au 15/05/2024</t>
  </si>
  <si>
    <r>
      <t xml:space="preserve">l'An Deux mille Vingt Quatre et le Seize Mai, nous </t>
    </r>
    <r>
      <rPr>
        <b/>
        <i/>
        <sz val="23"/>
        <color theme="1"/>
        <rFont val="Calibri"/>
        <family val="2"/>
        <scheme val="minor"/>
      </rPr>
      <t>Cheikh CHEINE</t>
    </r>
    <r>
      <rPr>
        <i/>
        <sz val="23"/>
        <color theme="1"/>
        <rFont val="Calibri"/>
        <family val="2"/>
        <scheme val="minor"/>
      </rPr>
      <t xml:space="preserve"> et </t>
    </r>
    <r>
      <rPr>
        <b/>
        <i/>
        <sz val="23"/>
        <color theme="1"/>
        <rFont val="Calibri"/>
        <family val="2"/>
        <scheme val="minor"/>
      </rPr>
      <t>Mohamed Lemine SIDI AHMED CHEINE</t>
    </r>
    <r>
      <rPr>
        <i/>
        <sz val="23"/>
        <color theme="1"/>
        <rFont val="Calibri"/>
        <family val="2"/>
        <scheme val="minor"/>
      </rPr>
      <t xml:space="preserve"> , respectivement Auditeur et Vérificateur à la Direction de L'Audit et du Contrôle Interne du Trésor, avons procédé suivant l'ordre de mission N°00061/2024 MF/SG/DGTCP en date du 07 Mai 2024,à la vérification de </t>
    </r>
    <r>
      <rPr>
        <b/>
        <i/>
        <sz val="23"/>
        <color theme="1"/>
        <rFont val="Calibri"/>
        <family val="2"/>
        <scheme val="minor"/>
      </rPr>
      <t>caisse de la Perception de Adel Bagrou</t>
    </r>
    <r>
      <rPr>
        <i/>
        <sz val="23"/>
        <color theme="1"/>
        <rFont val="Calibri"/>
        <family val="2"/>
        <scheme val="minor"/>
      </rPr>
      <t xml:space="preserve"> pour la période du </t>
    </r>
    <r>
      <rPr>
        <b/>
        <i/>
        <sz val="23"/>
        <color theme="1"/>
        <rFont val="Calibri"/>
        <family val="2"/>
        <scheme val="minor"/>
      </rPr>
      <t>01/01/2024 au 15/05/2024</t>
    </r>
    <r>
      <rPr>
        <i/>
        <sz val="23"/>
        <color theme="1"/>
        <rFont val="Calibri"/>
        <family val="2"/>
        <scheme val="minor"/>
      </rPr>
      <t xml:space="preserve">. Le Percepteur durant cette période étant Monsieur </t>
    </r>
    <r>
      <rPr>
        <b/>
        <i/>
        <sz val="23"/>
        <color theme="1"/>
        <rFont val="Calibri"/>
        <family val="2"/>
        <scheme val="minor"/>
      </rPr>
      <t>Eyba Mohamed OUMAR</t>
    </r>
    <r>
      <rPr>
        <i/>
        <sz val="23"/>
        <color theme="1"/>
        <rFont val="Calibri"/>
        <family val="2"/>
        <scheme val="minor"/>
      </rPr>
      <t>.</t>
    </r>
  </si>
  <si>
    <t>Effectuée le 16/05/2024</t>
  </si>
  <si>
    <t>Les Missionnaires</t>
  </si>
  <si>
    <t>2.1.01</t>
  </si>
  <si>
    <t>ETS EMEL</t>
  </si>
  <si>
    <t>VRT 01/2024 DU 14/02</t>
  </si>
  <si>
    <t>ETS EMZEIMID</t>
  </si>
  <si>
    <t>Personnel Temporaire Juillet au decembre 2023</t>
  </si>
  <si>
    <t>CH 4760850 LE 14/02</t>
  </si>
  <si>
    <t>Indemnités de sessions jan 2024</t>
  </si>
  <si>
    <t>CH 4760839 LE 28/02</t>
  </si>
  <si>
    <t>Carburants et Lubrifiants</t>
  </si>
  <si>
    <t>VRT 03/2024 DU 14/02</t>
  </si>
  <si>
    <t>2.2.01.5.3</t>
  </si>
  <si>
    <t>objet</t>
  </si>
  <si>
    <t xml:space="preserve">Assainissement </t>
  </si>
  <si>
    <t xml:space="preserve">PT </t>
  </si>
  <si>
    <t>C MUNICIPAL</t>
  </si>
  <si>
    <t xml:space="preserve">ETS MZEIMID </t>
  </si>
  <si>
    <t>Personnel Temporaire Janv 2024</t>
  </si>
  <si>
    <t xml:space="preserve">Le Maire </t>
  </si>
  <si>
    <t>CH 2005073002 LE 16/04</t>
  </si>
  <si>
    <t xml:space="preserve">Indemnités de Fonction jan fev mars </t>
  </si>
  <si>
    <t>Le Maire Adjoint</t>
  </si>
  <si>
    <t>VRT 05/24  LE 08/04</t>
  </si>
  <si>
    <t xml:space="preserve">Indemnités de Répresentation jan fev mars </t>
  </si>
  <si>
    <t xml:space="preserve">Indemnités Comp du log janv   fev mars </t>
  </si>
  <si>
    <t>RM</t>
  </si>
  <si>
    <t>Indémnités  de gestion comptable jan fev mars</t>
  </si>
  <si>
    <t xml:space="preserve">Autres  Primes </t>
  </si>
  <si>
    <t>Cheikh med lemine MAIRE ADJOINT</t>
  </si>
  <si>
    <t>CH 2005073004 LE 15/04</t>
  </si>
  <si>
    <t>Prime de rendement comptable jan fev mars</t>
  </si>
  <si>
    <t>CH 2005073002 LE 01/04</t>
  </si>
  <si>
    <t xml:space="preserve">Personnel Temporaire Jan fev mars </t>
  </si>
  <si>
    <t>VRT 05 ET CH 73004 ET ESP</t>
  </si>
  <si>
    <t>Personnel Permanent Janv</t>
  </si>
  <si>
    <t>pp</t>
  </si>
  <si>
    <t>VRT 05 LE 08/04</t>
  </si>
  <si>
    <t>Part Patronale Sec Soc</t>
  </si>
  <si>
    <t>QUITT</t>
  </si>
  <si>
    <t>Part Patronale Assur maladie</t>
  </si>
  <si>
    <t>Personnel Permanent Fev</t>
  </si>
  <si>
    <t xml:space="preserve">Personnel Permanent Mars </t>
  </si>
  <si>
    <t>Indemnités de Fonction oct nov dec 2023 JOURNEES COMPL</t>
  </si>
  <si>
    <t xml:space="preserve">LE Maire </t>
  </si>
  <si>
    <t>Indémnités  de Répresentation oct nov dec 2023</t>
  </si>
  <si>
    <t>CH 4760848 LE 06.02.2025</t>
  </si>
  <si>
    <t>Indémnités  Comp du log oct nov dec 2024</t>
  </si>
  <si>
    <t>Indémnités  de gestion comptable oct nov dec</t>
  </si>
  <si>
    <t>Subventions d’equip versé</t>
  </si>
  <si>
    <t xml:space="preserve">Indemnités de fonction janv fev mars </t>
  </si>
  <si>
    <t>OJBET</t>
  </si>
  <si>
    <t xml:space="preserve">BENEFICIAIRE </t>
  </si>
  <si>
    <t>VRT 07 LE 17/04</t>
  </si>
  <si>
    <t>LE Maire Adjoint</t>
  </si>
  <si>
    <t xml:space="preserve">Indemnités de Répresentation janv fev mars </t>
  </si>
  <si>
    <t xml:space="preserve">Indemnités comp du mlog janv  fev mars </t>
  </si>
  <si>
    <t xml:space="preserve">Prime de rendement </t>
  </si>
  <si>
    <t xml:space="preserve">Indemnités comp du log janv  fev mars </t>
  </si>
  <si>
    <t xml:space="preserve">Autres primes </t>
  </si>
  <si>
    <t>neny mahfoudh</t>
  </si>
  <si>
    <t>SG</t>
  </si>
  <si>
    <t xml:space="preserve">Personnel Temporaire janv fev mars </t>
  </si>
  <si>
    <t>PT</t>
  </si>
  <si>
    <t>CH 2005073007</t>
  </si>
  <si>
    <t>7.1.05</t>
  </si>
  <si>
    <t xml:space="preserve">PATENTE </t>
  </si>
  <si>
    <t>2024T00224000005</t>
  </si>
  <si>
    <t>PATENTE</t>
  </si>
  <si>
    <t>2024T00224000012</t>
  </si>
  <si>
    <t xml:space="preserve">OBJET </t>
  </si>
  <si>
    <t xml:space="preserve">le Maire </t>
  </si>
  <si>
    <t>VRT 06 DU 08/04</t>
  </si>
  <si>
    <t xml:space="preserve">MAIRE ADJOINT </t>
  </si>
  <si>
    <t xml:space="preserve">Indemnités de Representation  janv fev mars </t>
  </si>
  <si>
    <t xml:space="preserve">Indem comp du log </t>
  </si>
  <si>
    <t>Indem de gestion compt janv à mars</t>
  </si>
  <si>
    <t>Prime rendement  janv fev mars</t>
  </si>
  <si>
    <t>Neny mahfoudh</t>
  </si>
  <si>
    <t xml:space="preserve">Indemnités de sessions </t>
  </si>
  <si>
    <t>CM</t>
  </si>
  <si>
    <t>CH 2005073006</t>
  </si>
  <si>
    <t>2024T00224000014</t>
  </si>
  <si>
    <t>2024T00224000007</t>
  </si>
  <si>
    <t>VRT 02/2024 DU 14/02</t>
  </si>
  <si>
    <t xml:space="preserve">CH 0849 </t>
  </si>
  <si>
    <t>CH 4760848 LE 06.02.2024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</si>
</sst>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\ _€_-;\-* #,##0.00\ _€_-;_-* &quot;-&quot;??\ _€_-;_-@_-"/>
    <numFmt numFmtId="164" formatCode="#,##0.00_ ;\-#,##0.00\ "/>
    <numFmt numFmtId="165" formatCode="#,##0.00;[Red]#,##0.00"/>
    <numFmt numFmtId="166" formatCode="0_ ;\-0\ "/>
    <numFmt numFmtId="167" formatCode="[$-40C]d\ mmmm\ yyyy;@"/>
    <numFmt numFmtId="168" formatCode="_-* #,##0.00\ [$€]_-;\-* #,##0.00\ [$€]_-;_-* &quot;-&quot;??\ [$€]_-;_-@_-"/>
    <numFmt numFmtId="169" formatCode="d/m/yy;@"/>
    <numFmt numFmtId="170" formatCode="_-* #,##0.00_-;_-* #,##0.00\-;_-* &quot;-&quot;??_-;_-@_-"/>
    <numFmt numFmtId="171" formatCode="_-* #,##0.00\ _F_-;\-* #,##0.00\ _F_-;_-* &quot;-&quot;??\ _F_-;_-@_-"/>
    <numFmt numFmtId="172" formatCode="_(* #,##0.00_);_(* \(#,##0.00\);_(* &quot;-&quot;??_);_(@_)"/>
    <numFmt numFmtId="173" formatCode="_-* #,##0\ _€_-;\-* #,##0\ _€_-;_-* &quot;-&quot;??\ _€_-;_-@_-"/>
    <numFmt numFmtId="174" formatCode="_-* #,##0.00\ [$€-40C]_-;\-* #,##0.00\ [$€-40C]_-;_-* &quot;-&quot;??\ [$€-40C]_-;_-@_-"/>
  </numFmts>
  <fonts count="10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8"/>
      <color indexed="8"/>
      <name val="Simplified Arabic"/>
      <family val="1"/>
    </font>
    <font>
      <b/>
      <i/>
      <sz val="17"/>
      <color indexed="8"/>
      <name val="Calibri"/>
      <family val="2"/>
    </font>
    <font>
      <b/>
      <i/>
      <sz val="22"/>
      <color indexed="8"/>
      <name val="Calibri"/>
      <family val="2"/>
    </font>
    <font>
      <b/>
      <i/>
      <sz val="24"/>
      <color indexed="8"/>
      <name val="Calibri"/>
      <family val="2"/>
    </font>
    <font>
      <b/>
      <sz val="14"/>
      <color indexed="8"/>
      <name val="Simplified Arabic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i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Baskerville Old Face"/>
      <family val="1"/>
    </font>
    <font>
      <b/>
      <i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Baskerville Old Face"/>
      <family val="1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b/>
      <sz val="14"/>
      <color theme="1"/>
      <name val="Baskerville Old Face"/>
      <family val="1"/>
    </font>
    <font>
      <i/>
      <sz val="16"/>
      <color theme="1"/>
      <name val="Calibri"/>
      <family val="2"/>
      <scheme val="minor"/>
    </font>
    <font>
      <b/>
      <i/>
      <sz val="14"/>
      <color theme="1"/>
      <name val="Baskerville Old Face"/>
      <family val="1"/>
    </font>
    <font>
      <b/>
      <i/>
      <sz val="17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sz val="24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18"/>
      <color theme="1"/>
      <name val="Arial Black"/>
      <family val="2"/>
    </font>
    <font>
      <b/>
      <i/>
      <sz val="26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6"/>
      <color indexed="8"/>
      <name val="Simplified Arabic"/>
      <family val="1"/>
    </font>
    <font>
      <b/>
      <sz val="18"/>
      <color indexed="8"/>
      <name val="Arial"/>
      <family val="2"/>
    </font>
    <font>
      <b/>
      <sz val="72"/>
      <color theme="1"/>
      <name val="Algerian"/>
      <family val="5"/>
    </font>
    <font>
      <b/>
      <sz val="22"/>
      <color theme="1"/>
      <name val="Albertus Medium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70"/>
      <color theme="1"/>
      <name val="Bodoni Poster"/>
      <family val="1"/>
    </font>
    <font>
      <b/>
      <sz val="70"/>
      <color theme="1"/>
      <name val="Calibri"/>
      <family val="2"/>
      <scheme val="minor"/>
    </font>
    <font>
      <b/>
      <sz val="68"/>
      <color theme="1"/>
      <name val="Algerian"/>
      <family val="5"/>
    </font>
    <font>
      <b/>
      <i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i/>
      <sz val="11"/>
      <color theme="1"/>
      <name val="Cambria"/>
      <family val="1"/>
      <scheme val="major"/>
    </font>
    <font>
      <b/>
      <i/>
      <sz val="14"/>
      <color indexed="8"/>
      <name val="Calibri"/>
      <family val="2"/>
    </font>
    <font>
      <b/>
      <i/>
      <sz val="16"/>
      <name val="Calibri"/>
      <family val="2"/>
      <scheme val="minor"/>
    </font>
    <font>
      <b/>
      <i/>
      <sz val="16"/>
      <color theme="1"/>
      <name val="Baskerville Old Face"/>
      <family val="1"/>
    </font>
    <font>
      <b/>
      <i/>
      <sz val="10"/>
      <color theme="1"/>
      <name val="Baskerville Old Face"/>
      <family val="1"/>
    </font>
    <font>
      <i/>
      <sz val="16"/>
      <name val="Calibri"/>
      <family val="2"/>
      <scheme val="minor"/>
    </font>
    <font>
      <b/>
      <i/>
      <sz val="11"/>
      <color theme="1"/>
      <name val="Baskerville Old Face"/>
      <family val="1"/>
    </font>
    <font>
      <b/>
      <i/>
      <sz val="11"/>
      <name val="Calibri"/>
      <family val="2"/>
      <scheme val="minor"/>
    </font>
    <font>
      <b/>
      <i/>
      <sz val="10"/>
      <color indexed="8"/>
      <name val="Arial"/>
      <family val="2"/>
    </font>
    <font>
      <b/>
      <i/>
      <sz val="11"/>
      <color indexed="8"/>
      <name val="Simplified Arabic"/>
      <family val="1"/>
    </font>
    <font>
      <b/>
      <i/>
      <sz val="28"/>
      <color theme="1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20"/>
      <color theme="1"/>
      <name val="Baskerville Old Face"/>
      <family val="1"/>
    </font>
    <font>
      <b/>
      <i/>
      <sz val="16"/>
      <name val="Arial"/>
      <family val="2"/>
    </font>
    <font>
      <i/>
      <sz val="15"/>
      <color theme="1"/>
      <name val="Calibri"/>
      <family val="2"/>
      <scheme val="minor"/>
    </font>
    <font>
      <i/>
      <sz val="17"/>
      <color theme="1"/>
      <name val="Calibri"/>
      <family val="2"/>
      <scheme val="minor"/>
    </font>
    <font>
      <b/>
      <i/>
      <sz val="16"/>
      <color theme="1"/>
      <name val="Arial Rounded MT Bold"/>
      <family val="2"/>
    </font>
    <font>
      <b/>
      <i/>
      <sz val="14"/>
      <color theme="1"/>
      <name val="Arial Rounded MT Bold"/>
      <family val="2"/>
    </font>
    <font>
      <i/>
      <sz val="14"/>
      <name val="Calibri"/>
      <family val="2"/>
      <scheme val="minor"/>
    </font>
    <font>
      <i/>
      <sz val="14"/>
      <name val="Arial"/>
      <family val="2"/>
    </font>
    <font>
      <i/>
      <sz val="13"/>
      <color theme="1"/>
      <name val="Calibri"/>
      <family val="2"/>
      <scheme val="minor"/>
    </font>
    <font>
      <i/>
      <sz val="17"/>
      <color indexed="8"/>
      <name val="Calibri"/>
      <family val="2"/>
    </font>
    <font>
      <sz val="10"/>
      <name val="Arial"/>
      <family val="2"/>
    </font>
    <font>
      <i/>
      <sz val="22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askerville Old Face"/>
      <family val="1"/>
    </font>
    <font>
      <b/>
      <sz val="22"/>
      <color indexed="8"/>
      <name val="Arial"/>
      <family val="2"/>
    </font>
    <font>
      <b/>
      <sz val="16"/>
      <color indexed="8"/>
      <name val="Arial"/>
      <family val="2"/>
    </font>
    <font>
      <b/>
      <sz val="22"/>
      <color indexed="8"/>
      <name val="Simplified Arabic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7"/>
      <color theme="1"/>
      <name val="Baskerville Old Face"/>
      <family val="1"/>
    </font>
    <font>
      <b/>
      <sz val="17"/>
      <color theme="1"/>
      <name val="Calibri"/>
      <family val="2"/>
      <scheme val="minor"/>
    </font>
    <font>
      <b/>
      <sz val="13"/>
      <color theme="1"/>
      <name val="Baskerville Old Face"/>
      <family val="1"/>
    </font>
    <font>
      <sz val="17"/>
      <color theme="1"/>
      <name val="Calibri"/>
      <family val="2"/>
      <scheme val="minor"/>
    </font>
    <font>
      <b/>
      <sz val="17"/>
      <color indexed="8"/>
      <name val="Calibri"/>
      <family val="2"/>
    </font>
    <font>
      <b/>
      <sz val="10"/>
      <color theme="1"/>
      <name val="Baskerville Old Face"/>
      <family val="1"/>
    </font>
    <font>
      <i/>
      <sz val="23"/>
      <color theme="1"/>
      <name val="Calibri"/>
      <family val="2"/>
      <scheme val="minor"/>
    </font>
    <font>
      <b/>
      <i/>
      <sz val="23"/>
      <color theme="1"/>
      <name val="Calibri"/>
      <family val="2"/>
      <scheme val="minor"/>
    </font>
    <font>
      <sz val="12"/>
      <name val="Arial Narrow"/>
      <family val="2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u/>
      <sz val="12"/>
      <color theme="1"/>
      <name val="Calibri"/>
      <family val="2"/>
      <scheme val="minor"/>
    </font>
    <font>
      <b/>
      <i/>
      <sz val="16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42">
    <xf numFmtId="0" fontId="0" fillId="0" borderId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>
      <alignment vertical="top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4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1" fillId="0" borderId="0"/>
    <xf numFmtId="0" fontId="4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1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4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73" fillId="0" borderId="0"/>
    <xf numFmtId="43" fontId="11" fillId="0" borderId="0" applyFont="0" applyFill="0" applyBorder="0" applyAlignment="0" applyProtection="0"/>
  </cellStyleXfs>
  <cellXfs count="485">
    <xf numFmtId="0" fontId="0" fillId="0" borderId="0" xfId="0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/>
    </xf>
    <xf numFmtId="43" fontId="14" fillId="0" borderId="0" xfId="5" applyFont="1" applyFill="1"/>
    <xf numFmtId="0" fontId="16" fillId="0" borderId="0" xfId="0" applyFont="1"/>
    <xf numFmtId="43" fontId="14" fillId="0" borderId="0" xfId="2" applyFont="1"/>
    <xf numFmtId="0" fontId="18" fillId="0" borderId="0" xfId="0" applyFont="1"/>
    <xf numFmtId="0" fontId="17" fillId="0" borderId="0" xfId="0" applyFont="1"/>
    <xf numFmtId="0" fontId="20" fillId="0" borderId="0" xfId="0" applyFont="1"/>
    <xf numFmtId="43" fontId="20" fillId="0" borderId="0" xfId="5" applyFont="1" applyFill="1"/>
    <xf numFmtId="43" fontId="14" fillId="0" borderId="0" xfId="0" applyNumberFormat="1" applyFont="1"/>
    <xf numFmtId="0" fontId="21" fillId="0" borderId="0" xfId="0" applyFont="1"/>
    <xf numFmtId="0" fontId="14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0" borderId="0" xfId="0" applyFont="1"/>
    <xf numFmtId="0" fontId="28" fillId="0" borderId="0" xfId="0" applyFont="1"/>
    <xf numFmtId="43" fontId="28" fillId="0" borderId="0" xfId="5" applyFont="1" applyFill="1"/>
    <xf numFmtId="0" fontId="19" fillId="0" borderId="0" xfId="0" applyFont="1" applyAlignment="1">
      <alignment horizontal="right"/>
    </xf>
    <xf numFmtId="0" fontId="29" fillId="0" borderId="0" xfId="0" applyFont="1"/>
    <xf numFmtId="0" fontId="28" fillId="0" borderId="0" xfId="0" applyFont="1" applyAlignment="1">
      <alignment horizontal="center"/>
    </xf>
    <xf numFmtId="0" fontId="30" fillId="5" borderId="1" xfId="0" applyFont="1" applyFill="1" applyBorder="1" applyAlignment="1">
      <alignment horizontal="center" vertical="center"/>
    </xf>
    <xf numFmtId="43" fontId="31" fillId="5" borderId="1" xfId="2" applyFont="1" applyFill="1" applyBorder="1" applyAlignment="1">
      <alignment vertical="center"/>
    </xf>
    <xf numFmtId="43" fontId="19" fillId="6" borderId="1" xfId="2" applyFont="1" applyFill="1" applyBorder="1" applyAlignment="1">
      <alignment vertical="center"/>
    </xf>
    <xf numFmtId="4" fontId="19" fillId="5" borderId="1" xfId="11" applyNumberFormat="1" applyFont="1" applyFill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/>
    </xf>
    <xf numFmtId="43" fontId="28" fillId="0" borderId="1" xfId="2" applyFont="1" applyBorder="1" applyAlignment="1">
      <alignment vertical="center"/>
    </xf>
    <xf numFmtId="43" fontId="28" fillId="0" borderId="1" xfId="2" applyFont="1" applyBorder="1" applyAlignment="1">
      <alignment vertical="center" wrapText="1"/>
    </xf>
    <xf numFmtId="0" fontId="19" fillId="5" borderId="2" xfId="0" applyFont="1" applyFill="1" applyBorder="1" applyAlignment="1">
      <alignment vertical="center" wrapText="1"/>
    </xf>
    <xf numFmtId="43" fontId="19" fillId="5" borderId="1" xfId="2" applyFont="1" applyFill="1" applyBorder="1" applyAlignment="1">
      <alignment vertical="center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 readingOrder="1"/>
    </xf>
    <xf numFmtId="0" fontId="10" fillId="0" borderId="0" xfId="0" applyFont="1" applyAlignment="1">
      <alignment vertical="center"/>
    </xf>
    <xf numFmtId="0" fontId="0" fillId="0" borderId="8" xfId="0" applyBorder="1"/>
    <xf numFmtId="0" fontId="39" fillId="0" borderId="0" xfId="0" applyFont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43" fontId="19" fillId="8" borderId="1" xfId="2" applyFont="1" applyFill="1" applyBorder="1" applyAlignment="1">
      <alignment vertical="center"/>
    </xf>
    <xf numFmtId="43" fontId="16" fillId="8" borderId="1" xfId="2" applyFont="1" applyFill="1" applyBorder="1" applyAlignment="1">
      <alignment vertical="center"/>
    </xf>
    <xf numFmtId="43" fontId="20" fillId="0" borderId="0" xfId="0" applyNumberFormat="1" applyFont="1"/>
    <xf numFmtId="0" fontId="15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4" fontId="19" fillId="5" borderId="1" xfId="1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8" fillId="0" borderId="1" xfId="0" applyFont="1" applyBorder="1" applyAlignment="1">
      <alignment vertical="center" wrapText="1"/>
    </xf>
    <xf numFmtId="43" fontId="28" fillId="0" borderId="1" xfId="2" applyFont="1" applyFill="1" applyBorder="1" applyAlignment="1">
      <alignment vertical="center" wrapText="1"/>
    </xf>
    <xf numFmtId="43" fontId="28" fillId="3" borderId="1" xfId="2" applyFont="1" applyFill="1" applyBorder="1" applyAlignment="1">
      <alignment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7" fillId="0" borderId="0" xfId="6" applyFont="1"/>
    <xf numFmtId="43" fontId="19" fillId="7" borderId="1" xfId="2" applyFont="1" applyFill="1" applyBorder="1" applyAlignment="1">
      <alignment vertical="center" wrapText="1"/>
    </xf>
    <xf numFmtId="43" fontId="16" fillId="7" borderId="1" xfId="2" applyFont="1" applyFill="1" applyBorder="1" applyAlignment="1">
      <alignment vertical="center" wrapText="1"/>
    </xf>
    <xf numFmtId="43" fontId="17" fillId="3" borderId="2" xfId="2" applyFont="1" applyFill="1" applyBorder="1" applyAlignment="1"/>
    <xf numFmtId="43" fontId="17" fillId="3" borderId="3" xfId="2" applyFont="1" applyFill="1" applyBorder="1" applyAlignment="1"/>
    <xf numFmtId="0" fontId="22" fillId="0" borderId="0" xfId="0" applyFont="1" applyAlignment="1">
      <alignment horizontal="right"/>
    </xf>
    <xf numFmtId="0" fontId="33" fillId="3" borderId="0" xfId="0" applyFont="1" applyFill="1" applyAlignment="1">
      <alignment horizontal="center" vertical="center" wrapText="1"/>
    </xf>
    <xf numFmtId="43" fontId="19" fillId="10" borderId="1" xfId="2" applyFont="1" applyFill="1" applyBorder="1" applyAlignment="1">
      <alignment vertical="center"/>
    </xf>
    <xf numFmtId="0" fontId="49" fillId="5" borderId="1" xfId="0" applyFont="1" applyFill="1" applyBorder="1" applyAlignment="1">
      <alignment horizontal="center" vertical="center"/>
    </xf>
    <xf numFmtId="43" fontId="49" fillId="5" borderId="1" xfId="2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left" vertical="center" wrapText="1"/>
    </xf>
    <xf numFmtId="43" fontId="49" fillId="5" borderId="1" xfId="2" applyFont="1" applyFill="1" applyBorder="1" applyAlignment="1">
      <alignment vertical="center"/>
    </xf>
    <xf numFmtId="43" fontId="17" fillId="5" borderId="1" xfId="2" applyFont="1" applyFill="1" applyBorder="1" applyAlignment="1">
      <alignment horizontal="center" vertical="center" wrapText="1"/>
    </xf>
    <xf numFmtId="0" fontId="50" fillId="0" borderId="0" xfId="0" applyFont="1"/>
    <xf numFmtId="173" fontId="19" fillId="5" borderId="1" xfId="2" applyNumberFormat="1" applyFont="1" applyFill="1" applyBorder="1" applyAlignment="1">
      <alignment vertical="center"/>
    </xf>
    <xf numFmtId="173" fontId="19" fillId="5" borderId="2" xfId="2" applyNumberFormat="1" applyFont="1" applyFill="1" applyBorder="1" applyAlignment="1">
      <alignment vertical="center"/>
    </xf>
    <xf numFmtId="173" fontId="19" fillId="5" borderId="4" xfId="2" applyNumberFormat="1" applyFont="1" applyFill="1" applyBorder="1" applyAlignment="1">
      <alignment vertical="center"/>
    </xf>
    <xf numFmtId="0" fontId="21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32" fillId="0" borderId="0" xfId="0" applyFont="1"/>
    <xf numFmtId="0" fontId="30" fillId="5" borderId="2" xfId="0" applyFont="1" applyFill="1" applyBorder="1" applyAlignment="1">
      <alignment vertical="center"/>
    </xf>
    <xf numFmtId="43" fontId="52" fillId="5" borderId="1" xfId="2" applyFont="1" applyFill="1" applyBorder="1" applyAlignment="1">
      <alignment vertical="center" wrapText="1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left"/>
    </xf>
    <xf numFmtId="0" fontId="54" fillId="0" borderId="0" xfId="0" applyFont="1"/>
    <xf numFmtId="0" fontId="19" fillId="5" borderId="1" xfId="11" applyFont="1" applyFill="1" applyBorder="1" applyAlignment="1">
      <alignment horizontal="center" vertical="center" wrapText="1"/>
    </xf>
    <xf numFmtId="0" fontId="28" fillId="3" borderId="1" xfId="11" applyFont="1" applyFill="1" applyBorder="1" applyAlignment="1">
      <alignment horizontal="center" vertical="center" wrapText="1"/>
    </xf>
    <xf numFmtId="43" fontId="19" fillId="5" borderId="1" xfId="2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14" fillId="0" borderId="0" xfId="0" applyFont="1" applyAlignment="1">
      <alignment wrapText="1"/>
    </xf>
    <xf numFmtId="43" fontId="21" fillId="0" borderId="0" xfId="2" applyFont="1" applyBorder="1"/>
    <xf numFmtId="43" fontId="55" fillId="0" borderId="1" xfId="2" applyFont="1" applyBorder="1" applyAlignment="1">
      <alignment vertical="center"/>
    </xf>
    <xf numFmtId="0" fontId="14" fillId="0" borderId="0" xfId="0" applyFont="1" applyAlignment="1">
      <alignment vertical="center"/>
    </xf>
    <xf numFmtId="0" fontId="56" fillId="0" borderId="0" xfId="0" applyFont="1"/>
    <xf numFmtId="0" fontId="19" fillId="5" borderId="1" xfId="0" applyFont="1" applyFill="1" applyBorder="1" applyAlignment="1">
      <alignment horizontal="center" vertical="center" wrapText="1"/>
    </xf>
    <xf numFmtId="0" fontId="58" fillId="0" borderId="0" xfId="0" applyFont="1" applyAlignment="1">
      <alignment vertical="center" readingOrder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right" vertical="center"/>
    </xf>
    <xf numFmtId="0" fontId="33" fillId="0" borderId="0" xfId="0" applyFont="1"/>
    <xf numFmtId="4" fontId="33" fillId="0" borderId="0" xfId="0" applyNumberFormat="1" applyFont="1"/>
    <xf numFmtId="0" fontId="25" fillId="3" borderId="0" xfId="0" applyFont="1" applyFill="1"/>
    <xf numFmtId="4" fontId="25" fillId="3" borderId="0" xfId="0" applyNumberFormat="1" applyFont="1" applyFill="1"/>
    <xf numFmtId="0" fontId="33" fillId="3" borderId="0" xfId="0" applyFont="1" applyFill="1" applyAlignment="1">
      <alignment vertical="center"/>
    </xf>
    <xf numFmtId="4" fontId="14" fillId="0" borderId="0" xfId="0" applyNumberFormat="1" applyFont="1"/>
    <xf numFmtId="0" fontId="33" fillId="3" borderId="0" xfId="0" applyFont="1" applyFill="1"/>
    <xf numFmtId="4" fontId="33" fillId="3" borderId="0" xfId="0" applyNumberFormat="1" applyFont="1" applyFill="1"/>
    <xf numFmtId="4" fontId="33" fillId="3" borderId="0" xfId="0" applyNumberFormat="1" applyFont="1" applyFill="1" applyAlignment="1">
      <alignment vertical="center"/>
    </xf>
    <xf numFmtId="0" fontId="2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61" fillId="0" borderId="0" xfId="6" applyFont="1"/>
    <xf numFmtId="0" fontId="15" fillId="0" borderId="0" xfId="6" applyFont="1"/>
    <xf numFmtId="43" fontId="14" fillId="0" borderId="0" xfId="434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0" fillId="0" borderId="1" xfId="1" applyNumberFormat="1" applyFont="1" applyBorder="1" applyAlignment="1">
      <alignment horizontal="right" vertical="center"/>
    </xf>
    <xf numFmtId="43" fontId="20" fillId="0" borderId="1" xfId="3" applyFont="1" applyFill="1" applyBorder="1" applyAlignment="1" applyProtection="1">
      <alignment vertical="center"/>
    </xf>
    <xf numFmtId="14" fontId="20" fillId="0" borderId="1" xfId="1" applyNumberFormat="1" applyFont="1" applyBorder="1" applyAlignment="1">
      <alignment vertical="center"/>
    </xf>
    <xf numFmtId="43" fontId="17" fillId="5" borderId="1" xfId="2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14" fontId="20" fillId="0" borderId="6" xfId="1" applyNumberFormat="1" applyFont="1" applyBorder="1" applyAlignment="1">
      <alignment horizontal="center" vertical="center"/>
    </xf>
    <xf numFmtId="43" fontId="20" fillId="0" borderId="1" xfId="3" applyFont="1" applyFill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43" fontId="28" fillId="0" borderId="0" xfId="2" applyFont="1" applyBorder="1"/>
    <xf numFmtId="0" fontId="28" fillId="0" borderId="0" xfId="0" applyFont="1" applyAlignment="1">
      <alignment vertical="center"/>
    </xf>
    <xf numFmtId="43" fontId="17" fillId="0" borderId="0" xfId="2" applyFont="1"/>
    <xf numFmtId="0" fontId="62" fillId="0" borderId="0" xfId="0" applyFont="1" applyAlignment="1">
      <alignment horizontal="center" vertical="center"/>
    </xf>
    <xf numFmtId="43" fontId="53" fillId="0" borderId="0" xfId="2" applyFont="1" applyAlignment="1">
      <alignment wrapText="1"/>
    </xf>
    <xf numFmtId="0" fontId="53" fillId="0" borderId="0" xfId="0" applyFont="1" applyAlignment="1">
      <alignment wrapText="1"/>
    </xf>
    <xf numFmtId="0" fontId="22" fillId="0" borderId="0" xfId="0" applyFont="1" applyAlignment="1">
      <alignment wrapText="1"/>
    </xf>
    <xf numFmtId="43" fontId="22" fillId="0" borderId="0" xfId="2" applyFont="1" applyAlignment="1">
      <alignment wrapText="1"/>
    </xf>
    <xf numFmtId="43" fontId="22" fillId="0" borderId="0" xfId="2" applyFont="1" applyAlignment="1">
      <alignment horizontal="center" wrapText="1"/>
    </xf>
    <xf numFmtId="0" fontId="14" fillId="0" borderId="0" xfId="0" applyFont="1" applyAlignment="1">
      <alignment vertical="center" wrapText="1"/>
    </xf>
    <xf numFmtId="43" fontId="64" fillId="5" borderId="2" xfId="2" applyFont="1" applyFill="1" applyBorder="1" applyAlignment="1">
      <alignment vertical="center"/>
    </xf>
    <xf numFmtId="43" fontId="64" fillId="5" borderId="3" xfId="2" applyFont="1" applyFill="1" applyBorder="1" applyAlignment="1">
      <alignment vertical="center"/>
    </xf>
    <xf numFmtId="43" fontId="64" fillId="5" borderId="4" xfId="2" applyFont="1" applyFill="1" applyBorder="1" applyAlignment="1">
      <alignment vertical="center"/>
    </xf>
    <xf numFmtId="43" fontId="64" fillId="5" borderId="1" xfId="2" applyFont="1" applyFill="1" applyBorder="1" applyAlignment="1">
      <alignment horizontal="center" vertical="center"/>
    </xf>
    <xf numFmtId="43" fontId="14" fillId="0" borderId="0" xfId="2" applyFont="1" applyAlignment="1">
      <alignment horizontal="center"/>
    </xf>
    <xf numFmtId="0" fontId="16" fillId="0" borderId="0" xfId="0" applyFont="1" applyAlignment="1">
      <alignment horizontal="left"/>
    </xf>
    <xf numFmtId="0" fontId="49" fillId="5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164" fontId="68" fillId="0" borderId="0" xfId="2" applyNumberFormat="1" applyFont="1" applyBorder="1" applyAlignment="1">
      <alignment horizontal="center" vertical="center"/>
    </xf>
    <xf numFmtId="0" fontId="14" fillId="0" borderId="0" xfId="0" applyFont="1" applyAlignment="1">
      <alignment vertical="top"/>
    </xf>
    <xf numFmtId="43" fontId="53" fillId="0" borderId="0" xfId="0" applyNumberFormat="1" applyFont="1" applyAlignment="1">
      <alignment wrapText="1"/>
    </xf>
    <xf numFmtId="164" fontId="68" fillId="0" borderId="0" xfId="2" applyNumberFormat="1" applyFont="1" applyBorder="1" applyAlignment="1">
      <alignment vertical="center"/>
    </xf>
    <xf numFmtId="0" fontId="51" fillId="0" borderId="0" xfId="0" applyFont="1"/>
    <xf numFmtId="0" fontId="30" fillId="5" borderId="1" xfId="0" applyFont="1" applyFill="1" applyBorder="1" applyAlignment="1">
      <alignment vertical="center"/>
    </xf>
    <xf numFmtId="0" fontId="66" fillId="3" borderId="1" xfId="0" applyFont="1" applyFill="1" applyBorder="1" applyAlignment="1">
      <alignment horizontal="center" vertical="center" wrapText="1"/>
    </xf>
    <xf numFmtId="14" fontId="66" fillId="3" borderId="1" xfId="0" applyNumberFormat="1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43" fontId="66" fillId="3" borderId="1" xfId="2" applyFont="1" applyFill="1" applyBorder="1" applyAlignment="1">
      <alignment horizontal="center" vertical="center"/>
    </xf>
    <xf numFmtId="43" fontId="30" fillId="5" borderId="1" xfId="2" applyFont="1" applyFill="1" applyBorder="1" applyAlignment="1">
      <alignment vertical="center"/>
    </xf>
    <xf numFmtId="0" fontId="20" fillId="0" borderId="0" xfId="0" applyFont="1" applyAlignment="1">
      <alignment horizontal="right" vertical="center"/>
    </xf>
    <xf numFmtId="43" fontId="17" fillId="0" borderId="0" xfId="2" applyFont="1" applyBorder="1" applyAlignment="1">
      <alignment vertical="center"/>
    </xf>
    <xf numFmtId="0" fontId="22" fillId="0" borderId="0" xfId="0" applyFont="1"/>
    <xf numFmtId="43" fontId="15" fillId="0" borderId="0" xfId="2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0" fontId="61" fillId="0" borderId="0" xfId="624" applyFont="1" applyAlignment="1">
      <alignment vertical="center"/>
    </xf>
    <xf numFmtId="43" fontId="52" fillId="5" borderId="1" xfId="2" applyFont="1" applyFill="1" applyBorder="1" applyAlignment="1">
      <alignment horizontal="center" vertical="center" wrapText="1"/>
    </xf>
    <xf numFmtId="43" fontId="52" fillId="5" borderId="1" xfId="0" applyNumberFormat="1" applyFont="1" applyFill="1" applyBorder="1" applyAlignment="1">
      <alignment vertical="center"/>
    </xf>
    <xf numFmtId="0" fontId="22" fillId="0" borderId="0" xfId="0" applyFont="1" applyAlignment="1">
      <alignment horizontal="right" vertical="center"/>
    </xf>
    <xf numFmtId="4" fontId="25" fillId="3" borderId="0" xfId="0" applyNumberFormat="1" applyFont="1" applyFill="1" applyAlignment="1">
      <alignment horizontal="right" vertical="center"/>
    </xf>
    <xf numFmtId="0" fontId="47" fillId="0" borderId="0" xfId="6" applyFont="1" applyAlignment="1">
      <alignment horizontal="center"/>
    </xf>
    <xf numFmtId="0" fontId="30" fillId="5" borderId="2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vertical="center"/>
    </xf>
    <xf numFmtId="4" fontId="25" fillId="5" borderId="0" xfId="0" applyNumberFormat="1" applyFont="1" applyFill="1" applyAlignment="1">
      <alignment vertical="center"/>
    </xf>
    <xf numFmtId="0" fontId="33" fillId="5" borderId="0" xfId="0" applyFont="1" applyFill="1" applyAlignment="1">
      <alignment vertical="center"/>
    </xf>
    <xf numFmtId="43" fontId="7" fillId="5" borderId="1" xfId="2" applyFont="1" applyFill="1" applyBorder="1" applyAlignment="1">
      <alignment vertical="center"/>
    </xf>
    <xf numFmtId="43" fontId="28" fillId="4" borderId="1" xfId="2" applyFont="1" applyFill="1" applyBorder="1" applyAlignment="1">
      <alignment vertical="center"/>
    </xf>
    <xf numFmtId="43" fontId="19" fillId="4" borderId="1" xfId="2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19" fillId="3" borderId="2" xfId="0" applyFont="1" applyFill="1" applyBorder="1" applyAlignment="1">
      <alignment vertical="center"/>
    </xf>
    <xf numFmtId="0" fontId="19" fillId="3" borderId="3" xfId="0" applyFont="1" applyFill="1" applyBorder="1" applyAlignment="1">
      <alignment vertical="center"/>
    </xf>
    <xf numFmtId="0" fontId="19" fillId="3" borderId="4" xfId="0" applyFont="1" applyFill="1" applyBorder="1" applyAlignment="1">
      <alignment vertical="center"/>
    </xf>
    <xf numFmtId="43" fontId="19" fillId="4" borderId="1" xfId="2" applyFont="1" applyFill="1" applyBorder="1" applyAlignment="1">
      <alignment horizontal="left" vertical="center"/>
    </xf>
    <xf numFmtId="43" fontId="17" fillId="4" borderId="1" xfId="2" applyFont="1" applyFill="1" applyBorder="1" applyAlignment="1">
      <alignment vertical="center"/>
    </xf>
    <xf numFmtId="43" fontId="17" fillId="3" borderId="4" xfId="2" applyFont="1" applyFill="1" applyBorder="1" applyAlignment="1">
      <alignment vertical="center"/>
    </xf>
    <xf numFmtId="43" fontId="19" fillId="5" borderId="1" xfId="2" applyFont="1" applyFill="1" applyBorder="1" applyAlignment="1">
      <alignment horizontal="left" vertical="center"/>
    </xf>
    <xf numFmtId="43" fontId="17" fillId="5" borderId="1" xfId="2" applyFont="1" applyFill="1" applyBorder="1" applyAlignment="1">
      <alignment vertical="center"/>
    </xf>
    <xf numFmtId="0" fontId="52" fillId="5" borderId="1" xfId="0" applyFont="1" applyFill="1" applyBorder="1" applyAlignment="1">
      <alignment vertical="center"/>
    </xf>
    <xf numFmtId="0" fontId="66" fillId="0" borderId="2" xfId="0" applyFont="1" applyBorder="1" applyAlignment="1">
      <alignment vertical="center"/>
    </xf>
    <xf numFmtId="43" fontId="28" fillId="0" borderId="1" xfId="2" applyFont="1" applyBorder="1" applyAlignment="1">
      <alignment horizontal="left" vertical="center" wrapText="1"/>
    </xf>
    <xf numFmtId="43" fontId="71" fillId="3" borderId="1" xfId="2" applyFont="1" applyFill="1" applyBorder="1" applyAlignment="1">
      <alignment horizontal="center" vertical="center" wrapText="1"/>
    </xf>
    <xf numFmtId="43" fontId="28" fillId="0" borderId="1" xfId="2" applyFont="1" applyFill="1" applyBorder="1" applyAlignment="1">
      <alignment horizontal="left" vertical="center" wrapText="1"/>
    </xf>
    <xf numFmtId="43" fontId="28" fillId="3" borderId="1" xfId="2" applyFont="1" applyFill="1" applyBorder="1" applyAlignment="1">
      <alignment vertical="center"/>
    </xf>
    <xf numFmtId="43" fontId="20" fillId="0" borderId="0" xfId="2" applyFont="1"/>
    <xf numFmtId="43" fontId="19" fillId="5" borderId="1" xfId="2" applyFont="1" applyFill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0" fontId="28" fillId="3" borderId="1" xfId="0" applyFont="1" applyFill="1" applyBorder="1" applyAlignment="1">
      <alignment vertical="center" wrapText="1"/>
    </xf>
    <xf numFmtId="43" fontId="65" fillId="0" borderId="1" xfId="2" applyFont="1" applyFill="1" applyBorder="1" applyAlignment="1">
      <alignment vertical="center"/>
    </xf>
    <xf numFmtId="43" fontId="65" fillId="0" borderId="1" xfId="2" applyFont="1" applyFill="1" applyBorder="1" applyAlignment="1">
      <alignment horizontal="center" vertical="center"/>
    </xf>
    <xf numFmtId="43" fontId="19" fillId="0" borderId="0" xfId="2" applyFont="1" applyFill="1" applyBorder="1" applyAlignment="1">
      <alignment horizontal="center"/>
    </xf>
    <xf numFmtId="43" fontId="20" fillId="0" borderId="0" xfId="2" applyFont="1" applyAlignment="1">
      <alignment vertical="center"/>
    </xf>
    <xf numFmtId="0" fontId="47" fillId="0" borderId="0" xfId="0" applyFont="1"/>
    <xf numFmtId="0" fontId="47" fillId="0" borderId="0" xfId="0" applyFont="1" applyAlignment="1">
      <alignment horizontal="center"/>
    </xf>
    <xf numFmtId="4" fontId="15" fillId="0" borderId="0" xfId="0" applyNumberFormat="1" applyFont="1"/>
    <xf numFmtId="0" fontId="25" fillId="0" borderId="0" xfId="0" applyFont="1" applyAlignment="1">
      <alignment horizontal="right" vertical="center"/>
    </xf>
    <xf numFmtId="4" fontId="17" fillId="0" borderId="0" xfId="0" applyNumberFormat="1" applyFont="1"/>
    <xf numFmtId="43" fontId="15" fillId="0" borderId="0" xfId="2" applyFont="1" applyBorder="1"/>
    <xf numFmtId="43" fontId="15" fillId="0" borderId="0" xfId="0" applyNumberFormat="1" applyFont="1"/>
    <xf numFmtId="43" fontId="57" fillId="11" borderId="12" xfId="2" applyFont="1" applyFill="1" applyBorder="1" applyAlignment="1">
      <alignment horizontal="center" vertical="center" wrapText="1"/>
    </xf>
    <xf numFmtId="43" fontId="57" fillId="8" borderId="12" xfId="2" applyFon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0" fontId="74" fillId="0" borderId="0" xfId="0" applyFont="1"/>
    <xf numFmtId="0" fontId="29" fillId="3" borderId="0" xfId="0" applyFont="1" applyFill="1" applyAlignment="1">
      <alignment horizontal="center" vertical="center"/>
    </xf>
    <xf numFmtId="14" fontId="55" fillId="0" borderId="1" xfId="0" applyNumberFormat="1" applyFont="1" applyBorder="1" applyAlignment="1">
      <alignment vertical="center"/>
    </xf>
    <xf numFmtId="174" fontId="20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78" fillId="0" borderId="0" xfId="0" applyFont="1"/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 readingOrder="1"/>
    </xf>
    <xf numFmtId="0" fontId="6" fillId="0" borderId="0" xfId="0" applyFont="1" applyAlignment="1">
      <alignment horizontal="center" vertical="center"/>
    </xf>
    <xf numFmtId="0" fontId="81" fillId="0" borderId="0" xfId="0" applyFont="1" applyAlignment="1">
      <alignment vertical="center"/>
    </xf>
    <xf numFmtId="0" fontId="81" fillId="0" borderId="0" xfId="0" applyFont="1"/>
    <xf numFmtId="0" fontId="82" fillId="0" borderId="0" xfId="0" applyFont="1"/>
    <xf numFmtId="43" fontId="82" fillId="0" borderId="0" xfId="2" applyFont="1"/>
    <xf numFmtId="0" fontId="76" fillId="0" borderId="0" xfId="0" applyFont="1" applyAlignment="1">
      <alignment horizontal="center"/>
    </xf>
    <xf numFmtId="43" fontId="83" fillId="0" borderId="0" xfId="2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 applyAlignment="1">
      <alignment horizontal="center"/>
    </xf>
    <xf numFmtId="43" fontId="82" fillId="0" borderId="0" xfId="2" applyFont="1" applyAlignment="1"/>
    <xf numFmtId="0" fontId="82" fillId="0" borderId="0" xfId="0" applyFont="1" applyAlignment="1">
      <alignment horizontal="center"/>
    </xf>
    <xf numFmtId="0" fontId="76" fillId="0" borderId="0" xfId="0" applyFont="1" applyAlignment="1">
      <alignment horizontal="center" vertical="center"/>
    </xf>
    <xf numFmtId="0" fontId="86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43" fontId="83" fillId="0" borderId="0" xfId="2" applyFont="1" applyAlignment="1"/>
    <xf numFmtId="43" fontId="26" fillId="0" borderId="0" xfId="2" applyFont="1" applyAlignment="1">
      <alignment wrapText="1"/>
    </xf>
    <xf numFmtId="43" fontId="26" fillId="0" borderId="0" xfId="2" applyFont="1" applyAlignment="1">
      <alignment horizontal="center" wrapText="1"/>
    </xf>
    <xf numFmtId="43" fontId="26" fillId="0" borderId="0" xfId="2" applyFont="1" applyAlignment="1"/>
    <xf numFmtId="43" fontId="26" fillId="0" borderId="0" xfId="2" applyFont="1" applyAlignment="1">
      <alignment horizontal="center"/>
    </xf>
    <xf numFmtId="0" fontId="86" fillId="0" borderId="0" xfId="0" applyFont="1" applyAlignment="1">
      <alignment wrapText="1"/>
    </xf>
    <xf numFmtId="0" fontId="26" fillId="0" borderId="0" xfId="0" applyFont="1" applyAlignment="1">
      <alignment horizontal="center" wrapText="1"/>
    </xf>
    <xf numFmtId="0" fontId="86" fillId="0" borderId="0" xfId="0" applyFont="1" applyAlignment="1">
      <alignment horizontal="left"/>
    </xf>
    <xf numFmtId="0" fontId="86" fillId="0" borderId="0" xfId="0" applyFont="1" applyAlignment="1">
      <alignment horizontal="left" wrapText="1"/>
    </xf>
    <xf numFmtId="0" fontId="86" fillId="0" borderId="0" xfId="0" applyFont="1" applyAlignment="1">
      <alignment horizontal="center" wrapText="1"/>
    </xf>
    <xf numFmtId="0" fontId="26" fillId="0" borderId="0" xfId="0" applyFont="1" applyAlignment="1">
      <alignment horizontal="left"/>
    </xf>
    <xf numFmtId="0" fontId="87" fillId="0" borderId="0" xfId="0" applyFont="1"/>
    <xf numFmtId="0" fontId="82" fillId="0" borderId="0" xfId="0" applyFont="1" applyAlignment="1">
      <alignment horizontal="left"/>
    </xf>
    <xf numFmtId="0" fontId="89" fillId="0" borderId="0" xfId="0" applyFont="1"/>
    <xf numFmtId="0" fontId="86" fillId="0" borderId="0" xfId="0" applyFont="1" applyAlignment="1">
      <alignment vertical="center"/>
    </xf>
    <xf numFmtId="0" fontId="86" fillId="0" borderId="0" xfId="0" applyFont="1" applyAlignment="1">
      <alignment horizontal="center" vertical="center"/>
    </xf>
    <xf numFmtId="0" fontId="77" fillId="0" borderId="0" xfId="0" applyFont="1"/>
    <xf numFmtId="0" fontId="77" fillId="0" borderId="0" xfId="0" applyFont="1" applyAlignment="1">
      <alignment horizontal="center"/>
    </xf>
    <xf numFmtId="0" fontId="90" fillId="0" borderId="0" xfId="0" applyFont="1"/>
    <xf numFmtId="0" fontId="91" fillId="0" borderId="0" xfId="0" applyFont="1" applyAlignment="1">
      <alignment horizontal="left"/>
    </xf>
    <xf numFmtId="0" fontId="91" fillId="0" borderId="0" xfId="0" applyFont="1"/>
    <xf numFmtId="4" fontId="17" fillId="0" borderId="0" xfId="0" applyNumberFormat="1" applyFont="1" applyAlignment="1">
      <alignment vertical="center"/>
    </xf>
    <xf numFmtId="0" fontId="65" fillId="0" borderId="2" xfId="0" applyFont="1" applyBorder="1" applyAlignment="1">
      <alignment vertical="center" wrapText="1"/>
    </xf>
    <xf numFmtId="0" fontId="92" fillId="0" borderId="0" xfId="0" applyFont="1"/>
    <xf numFmtId="0" fontId="93" fillId="0" borderId="0" xfId="0" applyFont="1"/>
    <xf numFmtId="4" fontId="93" fillId="0" borderId="0" xfId="0" applyNumberFormat="1" applyFont="1"/>
    <xf numFmtId="43" fontId="93" fillId="0" borderId="0" xfId="2" applyFont="1" applyAlignment="1"/>
    <xf numFmtId="4" fontId="92" fillId="0" borderId="0" xfId="0" applyNumberFormat="1" applyFont="1"/>
    <xf numFmtId="0" fontId="75" fillId="0" borderId="0" xfId="0" applyFont="1"/>
    <xf numFmtId="0" fontId="75" fillId="0" borderId="0" xfId="0" applyFont="1" applyAlignment="1">
      <alignment vertical="center"/>
    </xf>
    <xf numFmtId="0" fontId="93" fillId="0" borderId="0" xfId="0" applyFont="1" applyAlignment="1">
      <alignment wrapText="1"/>
    </xf>
    <xf numFmtId="43" fontId="14" fillId="0" borderId="0" xfId="2" applyFont="1" applyAlignment="1">
      <alignment vertical="center"/>
    </xf>
    <xf numFmtId="43" fontId="15" fillId="0" borderId="0" xfId="2" applyFont="1"/>
    <xf numFmtId="0" fontId="85" fillId="0" borderId="1" xfId="0" applyFont="1" applyBorder="1" applyAlignment="1">
      <alignment horizontal="center" vertical="center"/>
    </xf>
    <xf numFmtId="43" fontId="69" fillId="0" borderId="1" xfId="2" applyFont="1" applyBorder="1" applyAlignment="1">
      <alignment vertical="center"/>
    </xf>
    <xf numFmtId="43" fontId="52" fillId="5" borderId="2" xfId="2" applyFont="1" applyFill="1" applyBorder="1" applyAlignment="1">
      <alignment vertical="center" wrapText="1"/>
    </xf>
    <xf numFmtId="43" fontId="52" fillId="5" borderId="4" xfId="2" applyFont="1" applyFill="1" applyBorder="1" applyAlignment="1">
      <alignment vertical="center" wrapText="1"/>
    </xf>
    <xf numFmtId="14" fontId="69" fillId="0" borderId="2" xfId="0" applyNumberFormat="1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14" fontId="53" fillId="0" borderId="0" xfId="0" applyNumberFormat="1" applyFont="1" applyAlignment="1">
      <alignment wrapText="1"/>
    </xf>
    <xf numFmtId="43" fontId="28" fillId="3" borderId="1" xfId="2" applyFont="1" applyFill="1" applyBorder="1" applyAlignment="1">
      <alignment horizontal="left" vertical="center" wrapText="1"/>
    </xf>
    <xf numFmtId="0" fontId="28" fillId="3" borderId="2" xfId="11" applyFont="1" applyFill="1" applyBorder="1" applyAlignment="1">
      <alignment horizontal="center" vertical="center" wrapText="1"/>
    </xf>
    <xf numFmtId="43" fontId="28" fillId="3" borderId="4" xfId="2" applyFont="1" applyFill="1" applyBorder="1" applyAlignment="1">
      <alignment horizontal="left" vertical="center" wrapText="1"/>
    </xf>
    <xf numFmtId="43" fontId="74" fillId="0" borderId="0" xfId="0" applyNumberFormat="1" applyFont="1"/>
    <xf numFmtId="4" fontId="17" fillId="0" borderId="0" xfId="0" applyNumberFormat="1" applyFont="1" applyAlignment="1">
      <alignment horizontal="right" vertical="center"/>
    </xf>
    <xf numFmtId="14" fontId="28" fillId="0" borderId="1" xfId="2" applyNumberFormat="1" applyFont="1" applyBorder="1" applyAlignment="1">
      <alignment vertical="center" wrapText="1"/>
    </xf>
    <xf numFmtId="43" fontId="28" fillId="2" borderId="1" xfId="2" applyFont="1" applyFill="1" applyBorder="1" applyAlignment="1">
      <alignment vertical="center" wrapText="1"/>
    </xf>
    <xf numFmtId="14" fontId="49" fillId="5" borderId="1" xfId="0" applyNumberFormat="1" applyFont="1" applyFill="1" applyBorder="1" applyAlignment="1">
      <alignment horizontal="center" vertical="center" wrapText="1"/>
    </xf>
    <xf numFmtId="14" fontId="71" fillId="3" borderId="1" xfId="2" applyNumberFormat="1" applyFont="1" applyFill="1" applyBorder="1" applyAlignment="1">
      <alignment horizontal="center" vertical="center" wrapText="1"/>
    </xf>
    <xf numFmtId="43" fontId="28" fillId="3" borderId="1" xfId="2" applyFont="1" applyFill="1" applyBorder="1" applyAlignment="1">
      <alignment horizontal="center" vertical="center" wrapText="1"/>
    </xf>
    <xf numFmtId="43" fontId="17" fillId="5" borderId="1" xfId="2" applyFont="1" applyFill="1" applyBorder="1" applyAlignment="1">
      <alignment horizontal="center" wrapText="1"/>
    </xf>
    <xf numFmtId="0" fontId="26" fillId="0" borderId="0" xfId="0" applyFont="1"/>
    <xf numFmtId="0" fontId="75" fillId="0" borderId="0" xfId="0" applyFont="1" applyAlignment="1">
      <alignment vertical="center"/>
    </xf>
    <xf numFmtId="0" fontId="76" fillId="0" borderId="0" xfId="0" applyFont="1"/>
    <xf numFmtId="0" fontId="96" fillId="0" borderId="0" xfId="0" applyFont="1"/>
    <xf numFmtId="43" fontId="96" fillId="0" borderId="0" xfId="2" applyFont="1"/>
    <xf numFmtId="43" fontId="97" fillId="4" borderId="12" xfId="2" applyFont="1" applyFill="1" applyBorder="1" applyAlignment="1">
      <alignment horizontal="center" vertical="center" wrapText="1"/>
    </xf>
    <xf numFmtId="0" fontId="96" fillId="0" borderId="12" xfId="0" applyFont="1" applyBorder="1"/>
    <xf numFmtId="43" fontId="96" fillId="0" borderId="12" xfId="2" applyFont="1" applyBorder="1"/>
    <xf numFmtId="0" fontId="96" fillId="0" borderId="12" xfId="0" applyFont="1" applyFill="1" applyBorder="1"/>
    <xf numFmtId="43" fontId="96" fillId="0" borderId="12" xfId="2" applyFont="1" applyFill="1" applyBorder="1"/>
    <xf numFmtId="0" fontId="96" fillId="0" borderId="0" xfId="0" applyFont="1" applyFill="1"/>
    <xf numFmtId="0" fontId="97" fillId="9" borderId="12" xfId="0" applyFont="1" applyFill="1" applyBorder="1" applyAlignment="1">
      <alignment vertical="center"/>
    </xf>
    <xf numFmtId="43" fontId="97" fillId="9" borderId="12" xfId="2" applyFont="1" applyFill="1" applyBorder="1" applyAlignment="1">
      <alignment vertical="center"/>
    </xf>
    <xf numFmtId="0" fontId="97" fillId="4" borderId="13" xfId="0" applyFont="1" applyFill="1" applyBorder="1" applyAlignment="1">
      <alignment vertical="center" wrapText="1"/>
    </xf>
    <xf numFmtId="0" fontId="97" fillId="4" borderId="14" xfId="0" applyFont="1" applyFill="1" applyBorder="1" applyAlignment="1">
      <alignment vertical="center" wrapText="1"/>
    </xf>
    <xf numFmtId="43" fontId="97" fillId="2" borderId="12" xfId="2" applyFont="1" applyFill="1" applyBorder="1" applyAlignment="1">
      <alignment horizontal="center" vertical="center"/>
    </xf>
    <xf numFmtId="0" fontId="96" fillId="3" borderId="0" xfId="0" applyFont="1" applyFill="1"/>
    <xf numFmtId="43" fontId="96" fillId="3" borderId="0" xfId="0" applyNumberFormat="1" applyFont="1" applyFill="1"/>
    <xf numFmtId="43" fontId="96" fillId="0" borderId="0" xfId="0" applyNumberFormat="1" applyFont="1"/>
    <xf numFmtId="0" fontId="29" fillId="0" borderId="0" xfId="0" applyFont="1" applyAlignment="1">
      <alignment horizontal="right"/>
    </xf>
    <xf numFmtId="0" fontId="98" fillId="0" borderId="0" xfId="0" applyFont="1"/>
    <xf numFmtId="43" fontId="98" fillId="0" borderId="0" xfId="2" applyFont="1"/>
    <xf numFmtId="0" fontId="100" fillId="0" borderId="0" xfId="6" applyFont="1"/>
    <xf numFmtId="0" fontId="101" fillId="0" borderId="0" xfId="6" applyFont="1" applyAlignment="1"/>
    <xf numFmtId="0" fontId="101" fillId="0" borderId="0" xfId="6" applyFont="1"/>
    <xf numFmtId="0" fontId="15" fillId="0" borderId="0" xfId="0" applyFont="1" applyAlignment="1">
      <alignment horizontal="center"/>
    </xf>
    <xf numFmtId="0" fontId="17" fillId="7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19" fillId="8" borderId="4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26" fillId="0" borderId="0" xfId="0" applyFont="1"/>
    <xf numFmtId="0" fontId="28" fillId="0" borderId="2" xfId="0" applyFont="1" applyBorder="1" applyAlignment="1">
      <alignment vertical="center" wrapText="1"/>
    </xf>
    <xf numFmtId="43" fontId="28" fillId="0" borderId="4" xfId="2" applyFont="1" applyFill="1" applyBorder="1" applyAlignment="1">
      <alignment vertical="center" wrapText="1"/>
    </xf>
    <xf numFmtId="0" fontId="49" fillId="5" borderId="6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101" fillId="0" borderId="0" xfId="6" applyFont="1" applyAlignment="1">
      <alignment horizontal="center"/>
    </xf>
    <xf numFmtId="0" fontId="53" fillId="0" borderId="0" xfId="0" applyFont="1" applyAlignment="1">
      <alignment horizontal="center" wrapText="1"/>
    </xf>
    <xf numFmtId="0" fontId="100" fillId="0" borderId="0" xfId="6" applyFont="1" applyAlignment="1">
      <alignment horizontal="center"/>
    </xf>
    <xf numFmtId="43" fontId="28" fillId="0" borderId="1" xfId="2" applyFont="1" applyBorder="1" applyAlignment="1">
      <alignment horizontal="center" vertical="center" wrapText="1"/>
    </xf>
    <xf numFmtId="43" fontId="19" fillId="7" borderId="1" xfId="2" applyFont="1" applyFill="1" applyBorder="1" applyAlignment="1">
      <alignment horizontal="center" vertical="center" wrapText="1"/>
    </xf>
    <xf numFmtId="43" fontId="16" fillId="7" borderId="1" xfId="2" applyFont="1" applyFill="1" applyBorder="1" applyAlignment="1">
      <alignment horizontal="center" vertical="center" wrapText="1"/>
    </xf>
    <xf numFmtId="43" fontId="16" fillId="8" borderId="1" xfId="2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/>
    </xf>
    <xf numFmtId="0" fontId="89" fillId="0" borderId="0" xfId="0" applyFont="1" applyAlignment="1">
      <alignment horizontal="center"/>
    </xf>
    <xf numFmtId="0" fontId="28" fillId="0" borderId="1" xfId="0" applyFont="1" applyBorder="1" applyAlignment="1">
      <alignment horizontal="center" wrapText="1"/>
    </xf>
    <xf numFmtId="43" fontId="14" fillId="0" borderId="0" xfId="5" applyFont="1" applyFill="1" applyAlignment="1">
      <alignment horizontal="center"/>
    </xf>
    <xf numFmtId="43" fontId="28" fillId="2" borderId="1" xfId="2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43" fontId="28" fillId="0" borderId="15" xfId="2" applyFont="1" applyFill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2" xfId="0" applyFont="1" applyBorder="1" applyAlignment="1">
      <alignment vertical="center" wrapText="1"/>
    </xf>
    <xf numFmtId="0" fontId="28" fillId="0" borderId="12" xfId="0" applyFont="1" applyBorder="1" applyAlignment="1">
      <alignment horizontal="center" vertical="center" wrapText="1"/>
    </xf>
    <xf numFmtId="43" fontId="28" fillId="0" borderId="12" xfId="2" applyFont="1" applyFill="1" applyBorder="1" applyAlignment="1">
      <alignment vertical="center" wrapText="1"/>
    </xf>
    <xf numFmtId="43" fontId="28" fillId="0" borderId="5" xfId="2" applyFont="1" applyFill="1" applyBorder="1" applyAlignment="1">
      <alignment vertical="center" wrapText="1"/>
    </xf>
    <xf numFmtId="2" fontId="53" fillId="0" borderId="0" xfId="0" applyNumberFormat="1" applyFont="1" applyAlignment="1">
      <alignment wrapText="1"/>
    </xf>
    <xf numFmtId="2" fontId="100" fillId="0" borderId="0" xfId="6" applyNumberFormat="1" applyFont="1"/>
    <xf numFmtId="167" fontId="23" fillId="4" borderId="0" xfId="0" applyNumberFormat="1" applyFont="1" applyFill="1" applyAlignment="1">
      <alignment horizontal="center"/>
    </xf>
    <xf numFmtId="0" fontId="38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right" vertical="center"/>
    </xf>
    <xf numFmtId="0" fontId="44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36" fillId="0" borderId="0" xfId="0" applyFont="1" applyAlignment="1">
      <alignment readingOrder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 vertical="center" readingOrder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43" fontId="99" fillId="5" borderId="0" xfId="2" applyFont="1" applyFill="1" applyAlignment="1">
      <alignment horizontal="center" vertical="center"/>
    </xf>
    <xf numFmtId="0" fontId="95" fillId="3" borderId="0" xfId="0" applyFont="1" applyFill="1" applyAlignment="1">
      <alignment horizontal="lef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78" fillId="0" borderId="0" xfId="0" applyFont="1" applyAlignment="1">
      <alignment horizontal="right" vertical="center"/>
    </xf>
    <xf numFmtId="43" fontId="57" fillId="11" borderId="13" xfId="2" applyFont="1" applyFill="1" applyBorder="1" applyAlignment="1">
      <alignment horizontal="center" vertical="center" wrapText="1"/>
    </xf>
    <xf numFmtId="43" fontId="57" fillId="11" borderId="14" xfId="2" applyFont="1" applyFill="1" applyBorder="1" applyAlignment="1">
      <alignment horizontal="center" vertical="center" wrapText="1"/>
    </xf>
    <xf numFmtId="4" fontId="92" fillId="0" borderId="0" xfId="0" applyNumberFormat="1" applyFont="1" applyAlignment="1">
      <alignment horizontal="right" vertical="center"/>
    </xf>
    <xf numFmtId="4" fontId="33" fillId="5" borderId="0" xfId="0" applyNumberFormat="1" applyFont="1" applyFill="1" applyAlignment="1">
      <alignment horizontal="right" vertical="center"/>
    </xf>
    <xf numFmtId="4" fontId="25" fillId="5" borderId="0" xfId="0" applyNumberFormat="1" applyFont="1" applyFill="1" applyAlignment="1">
      <alignment horizontal="right" vertical="center"/>
    </xf>
    <xf numFmtId="0" fontId="37" fillId="0" borderId="0" xfId="0" applyFont="1" applyAlignment="1">
      <alignment horizontal="center" vertical="center"/>
    </xf>
    <xf numFmtId="4" fontId="25" fillId="5" borderId="0" xfId="0" applyNumberFormat="1" applyFont="1" applyFill="1" applyAlignment="1">
      <alignment vertical="center"/>
    </xf>
    <xf numFmtId="0" fontId="81" fillId="0" borderId="0" xfId="0" applyFont="1" applyAlignment="1">
      <alignment horizontal="right" vertical="center"/>
    </xf>
    <xf numFmtId="0" fontId="60" fillId="2" borderId="0" xfId="0" applyFont="1" applyFill="1" applyAlignment="1">
      <alignment horizontal="center" vertical="center"/>
    </xf>
    <xf numFmtId="0" fontId="92" fillId="0" borderId="0" xfId="0" applyFont="1" applyAlignment="1">
      <alignment horizontal="left" vertical="center" wrapText="1"/>
    </xf>
    <xf numFmtId="4" fontId="93" fillId="0" borderId="0" xfId="0" applyNumberFormat="1" applyFont="1" applyAlignment="1">
      <alignment horizontal="right" vertical="center"/>
    </xf>
    <xf numFmtId="0" fontId="79" fillId="0" borderId="0" xfId="0" applyFont="1" applyAlignment="1">
      <alignment vertical="center" readingOrder="1"/>
    </xf>
    <xf numFmtId="0" fontId="80" fillId="0" borderId="0" xfId="0" applyFont="1" applyAlignment="1">
      <alignment horizontal="center" vertical="top" readingOrder="1"/>
    </xf>
    <xf numFmtId="0" fontId="79" fillId="0" borderId="0" xfId="0" applyFont="1" applyAlignment="1">
      <alignment horizontal="left" vertical="center" wrapText="1" readingOrder="1"/>
    </xf>
    <xf numFmtId="0" fontId="79" fillId="0" borderId="0" xfId="0" applyFont="1" applyAlignment="1">
      <alignment horizontal="left" vertical="center" readingOrder="1"/>
    </xf>
    <xf numFmtId="0" fontId="81" fillId="0" borderId="0" xfId="0" applyFont="1" applyAlignment="1">
      <alignment horizontal="right"/>
    </xf>
    <xf numFmtId="0" fontId="81" fillId="0" borderId="0" xfId="0" applyFont="1" applyAlignment="1">
      <alignment horizontal="right" vertical="center" wrapText="1"/>
    </xf>
    <xf numFmtId="43" fontId="94" fillId="0" borderId="0" xfId="2" applyFont="1" applyAlignment="1">
      <alignment horizontal="center" vertical="center"/>
    </xf>
    <xf numFmtId="0" fontId="93" fillId="0" borderId="0" xfId="0" applyFont="1" applyAlignment="1">
      <alignment horizontal="left" wrapText="1"/>
    </xf>
    <xf numFmtId="0" fontId="93" fillId="0" borderId="0" xfId="0" applyFont="1" applyAlignment="1">
      <alignment horizontal="right"/>
    </xf>
    <xf numFmtId="4" fontId="25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4" fontId="17" fillId="0" borderId="0" xfId="0" applyNumberFormat="1" applyFont="1" applyAlignment="1">
      <alignment horizontal="right" vertical="center"/>
    </xf>
    <xf numFmtId="43" fontId="17" fillId="5" borderId="1" xfId="2" applyFont="1" applyFill="1" applyBorder="1" applyAlignment="1">
      <alignment horizontal="left" vertical="center" wrapText="1"/>
    </xf>
    <xf numFmtId="0" fontId="25" fillId="12" borderId="0" xfId="0" applyFont="1" applyFill="1" applyAlignment="1">
      <alignment horizontal="center" vertical="center" wrapText="1"/>
    </xf>
    <xf numFmtId="4" fontId="19" fillId="5" borderId="1" xfId="11" applyNumberFormat="1" applyFont="1" applyFill="1" applyBorder="1" applyAlignment="1">
      <alignment horizontal="center" vertical="top" wrapText="1"/>
    </xf>
    <xf numFmtId="4" fontId="19" fillId="5" borderId="1" xfId="11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66" fillId="0" borderId="6" xfId="0" applyFont="1" applyBorder="1" applyAlignment="1">
      <alignment horizontal="center" vertical="center" wrapText="1"/>
    </xf>
    <xf numFmtId="0" fontId="66" fillId="0" borderId="7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43" fontId="72" fillId="0" borderId="6" xfId="5" applyFont="1" applyFill="1" applyBorder="1" applyAlignment="1">
      <alignment horizontal="center" vertical="center"/>
    </xf>
    <xf numFmtId="43" fontId="72" fillId="0" borderId="7" xfId="5" applyFont="1" applyFill="1" applyBorder="1" applyAlignment="1">
      <alignment horizontal="center" vertical="center"/>
    </xf>
    <xf numFmtId="43" fontId="72" fillId="0" borderId="5" xfId="5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88" fillId="0" borderId="0" xfId="0" applyFont="1" applyAlignment="1">
      <alignment horizontal="right" vertical="center"/>
    </xf>
    <xf numFmtId="0" fontId="33" fillId="2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43" fontId="26" fillId="0" borderId="0" xfId="2" applyFont="1" applyAlignment="1">
      <alignment horizontal="right"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right" wrapText="1"/>
    </xf>
    <xf numFmtId="0" fontId="32" fillId="2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164" fontId="28" fillId="0" borderId="10" xfId="2" applyNumberFormat="1" applyFont="1" applyBorder="1" applyAlignment="1">
      <alignment horizontal="center"/>
    </xf>
    <xf numFmtId="164" fontId="28" fillId="0" borderId="11" xfId="2" applyNumberFormat="1" applyFont="1" applyBorder="1" applyAlignment="1">
      <alignment horizontal="center"/>
    </xf>
    <xf numFmtId="0" fontId="19" fillId="8" borderId="2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86" fillId="0" borderId="0" xfId="0" applyFont="1"/>
    <xf numFmtId="0" fontId="27" fillId="0" borderId="0" xfId="0" applyFont="1" applyAlignment="1">
      <alignment horizontal="right" vertical="center"/>
    </xf>
    <xf numFmtId="164" fontId="34" fillId="2" borderId="0" xfId="2" applyNumberFormat="1" applyFont="1" applyFill="1" applyAlignment="1">
      <alignment horizontal="center" vertical="center"/>
    </xf>
    <xf numFmtId="164" fontId="67" fillId="0" borderId="0" xfId="2" applyNumberFormat="1" applyFont="1" applyBorder="1" applyAlignment="1">
      <alignment horizontal="center" vertical="center"/>
    </xf>
    <xf numFmtId="0" fontId="26" fillId="0" borderId="0" xfId="0" applyFont="1"/>
    <xf numFmtId="0" fontId="25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8" fillId="3" borderId="1" xfId="0" applyFont="1" applyFill="1" applyBorder="1" applyAlignment="1">
      <alignment vertical="center"/>
    </xf>
    <xf numFmtId="0" fontId="28" fillId="3" borderId="2" xfId="0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/>
    </xf>
    <xf numFmtId="0" fontId="28" fillId="3" borderId="4" xfId="0" applyFont="1" applyFill="1" applyBorder="1" applyAlignment="1">
      <alignment horizontal="left" vertical="center"/>
    </xf>
    <xf numFmtId="43" fontId="19" fillId="10" borderId="2" xfId="2" applyFont="1" applyFill="1" applyBorder="1" applyAlignment="1">
      <alignment horizontal="left" vertical="center"/>
    </xf>
    <xf numFmtId="43" fontId="19" fillId="10" borderId="3" xfId="2" applyFont="1" applyFill="1" applyBorder="1" applyAlignment="1">
      <alignment horizontal="left" vertical="center"/>
    </xf>
    <xf numFmtId="43" fontId="19" fillId="10" borderId="4" xfId="2" applyFont="1" applyFill="1" applyBorder="1" applyAlignment="1">
      <alignment horizontal="left" vertical="center"/>
    </xf>
    <xf numFmtId="0" fontId="25" fillId="12" borderId="0" xfId="0" applyFont="1" applyFill="1" applyAlignment="1">
      <alignment horizontal="center" vertical="center"/>
    </xf>
    <xf numFmtId="164" fontId="34" fillId="12" borderId="0" xfId="2" applyNumberFormat="1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/>
    </xf>
    <xf numFmtId="0" fontId="30" fillId="5" borderId="3" xfId="0" applyFont="1" applyFill="1" applyBorder="1" applyAlignment="1">
      <alignment horizontal="left" vertical="center"/>
    </xf>
    <xf numFmtId="0" fontId="30" fillId="5" borderId="4" xfId="0" applyFont="1" applyFill="1" applyBorder="1" applyAlignment="1">
      <alignment horizontal="left" vertical="center"/>
    </xf>
    <xf numFmtId="0" fontId="102" fillId="12" borderId="0" xfId="0" applyFont="1" applyFill="1" applyAlignment="1">
      <alignment horizontal="center" vertical="center" wrapText="1"/>
    </xf>
    <xf numFmtId="14" fontId="28" fillId="0" borderId="6" xfId="11" applyNumberFormat="1" applyFont="1" applyBorder="1" applyAlignment="1">
      <alignment horizontal="center" vertical="center" wrapText="1"/>
    </xf>
    <xf numFmtId="14" fontId="28" fillId="0" borderId="7" xfId="11" applyNumberFormat="1" applyFont="1" applyBorder="1" applyAlignment="1">
      <alignment horizontal="center" vertical="center" wrapText="1"/>
    </xf>
    <xf numFmtId="0" fontId="28" fillId="0" borderId="6" xfId="11" applyFont="1" applyBorder="1" applyAlignment="1">
      <alignment horizontal="center" vertical="center" wrapText="1"/>
    </xf>
    <xf numFmtId="0" fontId="28" fillId="0" borderId="5" xfId="11" applyFont="1" applyBorder="1" applyAlignment="1">
      <alignment horizontal="center" vertical="center" wrapText="1"/>
    </xf>
    <xf numFmtId="4" fontId="28" fillId="0" borderId="6" xfId="11" applyNumberFormat="1" applyFont="1" applyBorder="1" applyAlignment="1">
      <alignment horizontal="center" vertical="center" wrapText="1"/>
    </xf>
    <xf numFmtId="4" fontId="28" fillId="0" borderId="5" xfId="11" applyNumberFormat="1" applyFont="1" applyBorder="1" applyAlignment="1">
      <alignment horizontal="center" vertical="center" wrapText="1"/>
    </xf>
    <xf numFmtId="0" fontId="19" fillId="5" borderId="2" xfId="11" applyFont="1" applyFill="1" applyBorder="1" applyAlignment="1">
      <alignment horizontal="center" vertical="center" wrapText="1"/>
    </xf>
    <xf numFmtId="0" fontId="19" fillId="5" borderId="4" xfId="11" applyFont="1" applyFill="1" applyBorder="1" applyAlignment="1">
      <alignment horizontal="center" vertical="center" wrapText="1"/>
    </xf>
    <xf numFmtId="0" fontId="28" fillId="3" borderId="2" xfId="11" applyFont="1" applyFill="1" applyBorder="1" applyAlignment="1">
      <alignment horizontal="left" vertical="center" wrapText="1"/>
    </xf>
    <xf numFmtId="0" fontId="28" fillId="3" borderId="4" xfId="11" applyFont="1" applyFill="1" applyBorder="1" applyAlignment="1">
      <alignment horizontal="left" vertical="center" wrapText="1"/>
    </xf>
    <xf numFmtId="43" fontId="19" fillId="5" borderId="3" xfId="2" applyFont="1" applyFill="1" applyBorder="1" applyAlignment="1">
      <alignment horizontal="center" vertical="center" wrapText="1"/>
    </xf>
    <xf numFmtId="43" fontId="19" fillId="5" borderId="4" xfId="2" applyFont="1" applyFill="1" applyBorder="1" applyAlignment="1">
      <alignment horizontal="center" vertical="center" wrapText="1"/>
    </xf>
    <xf numFmtId="43" fontId="19" fillId="5" borderId="2" xfId="2" applyFont="1" applyFill="1" applyBorder="1" applyAlignment="1">
      <alignment horizontal="left" vertical="center" wrapText="1"/>
    </xf>
    <xf numFmtId="43" fontId="19" fillId="5" borderId="3" xfId="2" applyFont="1" applyFill="1" applyBorder="1" applyAlignment="1">
      <alignment horizontal="left" vertical="center" wrapText="1"/>
    </xf>
    <xf numFmtId="43" fontId="19" fillId="5" borderId="4" xfId="2" applyFont="1" applyFill="1" applyBorder="1" applyAlignment="1">
      <alignment horizontal="left" vertical="center" wrapText="1"/>
    </xf>
    <xf numFmtId="0" fontId="29" fillId="4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166" fontId="28" fillId="0" borderId="6" xfId="2" applyNumberFormat="1" applyFont="1" applyBorder="1" applyAlignment="1">
      <alignment horizontal="center" vertical="center" wrapText="1"/>
    </xf>
    <xf numFmtId="166" fontId="28" fillId="0" borderId="5" xfId="2" applyNumberFormat="1" applyFont="1" applyBorder="1" applyAlignment="1">
      <alignment horizontal="center" vertical="center" wrapText="1"/>
    </xf>
    <xf numFmtId="43" fontId="28" fillId="3" borderId="6" xfId="2" applyFont="1" applyFill="1" applyBorder="1" applyAlignment="1">
      <alignment horizontal="center" vertical="center" wrapText="1"/>
    </xf>
    <xf numFmtId="43" fontId="28" fillId="3" borderId="7" xfId="2" applyFont="1" applyFill="1" applyBorder="1" applyAlignment="1">
      <alignment horizontal="center" vertical="center" wrapText="1"/>
    </xf>
    <xf numFmtId="43" fontId="28" fillId="3" borderId="5" xfId="2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12" borderId="0" xfId="0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52" fillId="5" borderId="2" xfId="0" applyFont="1" applyFill="1" applyBorder="1" applyAlignment="1">
      <alignment horizontal="center" vertical="center"/>
    </xf>
    <xf numFmtId="0" fontId="52" fillId="5" borderId="4" xfId="0" applyFont="1" applyFill="1" applyBorder="1" applyAlignment="1">
      <alignment horizontal="center" vertical="center"/>
    </xf>
  </cellXfs>
  <cellStyles count="642">
    <cellStyle name="Euro" xfId="16"/>
    <cellStyle name="Milliers" xfId="2" builtinId="3"/>
    <cellStyle name="Milliers [0] 2" xfId="17"/>
    <cellStyle name="Milliers [0] 2 2" xfId="18"/>
    <cellStyle name="Milliers 10" xfId="19"/>
    <cellStyle name="Milliers 10 2" xfId="633"/>
    <cellStyle name="Milliers 11" xfId="20"/>
    <cellStyle name="Milliers 11 2" xfId="632"/>
    <cellStyle name="Milliers 12" xfId="427"/>
    <cellStyle name="Milliers 13" xfId="428"/>
    <cellStyle name="Milliers 14" xfId="429"/>
    <cellStyle name="Milliers 15" xfId="430"/>
    <cellStyle name="Milliers 16" xfId="431"/>
    <cellStyle name="Milliers 17" xfId="634"/>
    <cellStyle name="Milliers 18" xfId="635"/>
    <cellStyle name="Milliers 19" xfId="636"/>
    <cellStyle name="Milliers 2" xfId="3"/>
    <cellStyle name="Milliers 2 10" xfId="15"/>
    <cellStyle name="Milliers 2 10 2" xfId="21"/>
    <cellStyle name="Milliers 2 10 2 2" xfId="432"/>
    <cellStyle name="Milliers 2 10 2 3" xfId="433"/>
    <cellStyle name="Milliers 2 11" xfId="22"/>
    <cellStyle name="Milliers 2 11 2" xfId="23"/>
    <cellStyle name="Milliers 2 12" xfId="24"/>
    <cellStyle name="Milliers 2 12 2" xfId="25"/>
    <cellStyle name="Milliers 2 13" xfId="26"/>
    <cellStyle name="Milliers 2 13 2" xfId="27"/>
    <cellStyle name="Milliers 2 14" xfId="28"/>
    <cellStyle name="Milliers 2 14 2" xfId="29"/>
    <cellStyle name="Milliers 2 15" xfId="30"/>
    <cellStyle name="Milliers 2 15 2" xfId="31"/>
    <cellStyle name="Milliers 2 16" xfId="32"/>
    <cellStyle name="Milliers 2 16 2" xfId="33"/>
    <cellStyle name="Milliers 2 17" xfId="34"/>
    <cellStyle name="Milliers 2 17 2" xfId="35"/>
    <cellStyle name="Milliers 2 18" xfId="36"/>
    <cellStyle name="Milliers 2 18 2" xfId="37"/>
    <cellStyle name="Milliers 2 19" xfId="38"/>
    <cellStyle name="Milliers 2 19 2" xfId="39"/>
    <cellStyle name="Milliers 2 2" xfId="40"/>
    <cellStyle name="Milliers 2 2 10" xfId="41"/>
    <cellStyle name="Milliers 2 2 10 2" xfId="42"/>
    <cellStyle name="Milliers 2 2 11" xfId="43"/>
    <cellStyle name="Milliers 2 2 11 2" xfId="44"/>
    <cellStyle name="Milliers 2 2 12" xfId="45"/>
    <cellStyle name="Milliers 2 2 12 2" xfId="46"/>
    <cellStyle name="Milliers 2 2 13" xfId="47"/>
    <cellStyle name="Milliers 2 2 13 2" xfId="48"/>
    <cellStyle name="Milliers 2 2 14" xfId="49"/>
    <cellStyle name="Milliers 2 2 14 2" xfId="50"/>
    <cellStyle name="Milliers 2 2 15" xfId="51"/>
    <cellStyle name="Milliers 2 2 15 2" xfId="52"/>
    <cellStyle name="Milliers 2 2 16" xfId="53"/>
    <cellStyle name="Milliers 2 2 16 2" xfId="54"/>
    <cellStyle name="Milliers 2 2 17" xfId="55"/>
    <cellStyle name="Milliers 2 2 17 2" xfId="56"/>
    <cellStyle name="Milliers 2 2 18" xfId="57"/>
    <cellStyle name="Milliers 2 2 18 2" xfId="58"/>
    <cellStyle name="Milliers 2 2 19" xfId="59"/>
    <cellStyle name="Milliers 2 2 19 2" xfId="60"/>
    <cellStyle name="Milliers 2 2 2" xfId="61"/>
    <cellStyle name="Milliers 2 2 2 2" xfId="62"/>
    <cellStyle name="Milliers 2 2 20" xfId="63"/>
    <cellStyle name="Milliers 2 2 20 2" xfId="64"/>
    <cellStyle name="Milliers 2 2 21" xfId="65"/>
    <cellStyle name="Milliers 2 2 21 2" xfId="66"/>
    <cellStyle name="Milliers 2 2 22" xfId="67"/>
    <cellStyle name="Milliers 2 2 22 2" xfId="68"/>
    <cellStyle name="Milliers 2 2 23" xfId="69"/>
    <cellStyle name="Milliers 2 2 23 2" xfId="70"/>
    <cellStyle name="Milliers 2 2 24" xfId="71"/>
    <cellStyle name="Milliers 2 2 24 2" xfId="72"/>
    <cellStyle name="Milliers 2 2 25" xfId="73"/>
    <cellStyle name="Milliers 2 2 25 2" xfId="74"/>
    <cellStyle name="Milliers 2 2 26" xfId="75"/>
    <cellStyle name="Milliers 2 2 26 2" xfId="76"/>
    <cellStyle name="Milliers 2 2 27" xfId="77"/>
    <cellStyle name="Milliers 2 2 27 2" xfId="78"/>
    <cellStyle name="Milliers 2 2 28" xfId="79"/>
    <cellStyle name="Milliers 2 2 28 2" xfId="80"/>
    <cellStyle name="Milliers 2 2 29" xfId="81"/>
    <cellStyle name="Milliers 2 2 29 2" xfId="82"/>
    <cellStyle name="Milliers 2 2 3" xfId="83"/>
    <cellStyle name="Milliers 2 2 3 2" xfId="84"/>
    <cellStyle name="Milliers 2 2 30" xfId="85"/>
    <cellStyle name="Milliers 2 2 30 2" xfId="86"/>
    <cellStyle name="Milliers 2 2 31" xfId="87"/>
    <cellStyle name="Milliers 2 2 31 2" xfId="88"/>
    <cellStyle name="Milliers 2 2 32" xfId="89"/>
    <cellStyle name="Milliers 2 2 32 2" xfId="90"/>
    <cellStyle name="Milliers 2 2 33" xfId="91"/>
    <cellStyle name="Milliers 2 2 33 2" xfId="92"/>
    <cellStyle name="Milliers 2 2 34" xfId="93"/>
    <cellStyle name="Milliers 2 2 34 2" xfId="94"/>
    <cellStyle name="Milliers 2 2 35" xfId="95"/>
    <cellStyle name="Milliers 2 2 35 2" xfId="96"/>
    <cellStyle name="Milliers 2 2 36" xfId="97"/>
    <cellStyle name="Milliers 2 2 36 2" xfId="98"/>
    <cellStyle name="Milliers 2 2 37" xfId="99"/>
    <cellStyle name="Milliers 2 2 37 2" xfId="100"/>
    <cellStyle name="Milliers 2 2 38" xfId="101"/>
    <cellStyle name="Milliers 2 2 38 2" xfId="102"/>
    <cellStyle name="Milliers 2 2 39" xfId="103"/>
    <cellStyle name="Milliers 2 2 39 2" xfId="104"/>
    <cellStyle name="Milliers 2 2 4" xfId="105"/>
    <cellStyle name="Milliers 2 2 4 2" xfId="106"/>
    <cellStyle name="Milliers 2 2 40" xfId="107"/>
    <cellStyle name="Milliers 2 2 40 2" xfId="108"/>
    <cellStyle name="Milliers 2 2 41" xfId="109"/>
    <cellStyle name="Milliers 2 2 41 2" xfId="110"/>
    <cellStyle name="Milliers 2 2 42" xfId="111"/>
    <cellStyle name="Milliers 2 2 42 2" xfId="112"/>
    <cellStyle name="Milliers 2 2 43" xfId="113"/>
    <cellStyle name="Milliers 2 2 43 2" xfId="114"/>
    <cellStyle name="Milliers 2 2 44" xfId="115"/>
    <cellStyle name="Milliers 2 2 44 2" xfId="116"/>
    <cellStyle name="Milliers 2 2 45" xfId="117"/>
    <cellStyle name="Milliers 2 2 45 2" xfId="118"/>
    <cellStyle name="Milliers 2 2 46" xfId="119"/>
    <cellStyle name="Milliers 2 2 46 2" xfId="120"/>
    <cellStyle name="Milliers 2 2 47" xfId="121"/>
    <cellStyle name="Milliers 2 2 5" xfId="122"/>
    <cellStyle name="Milliers 2 2 5 2" xfId="123"/>
    <cellStyle name="Milliers 2 2 6" xfId="124"/>
    <cellStyle name="Milliers 2 2 6 2" xfId="125"/>
    <cellStyle name="Milliers 2 2 7" xfId="126"/>
    <cellStyle name="Milliers 2 2 7 2" xfId="127"/>
    <cellStyle name="Milliers 2 2 8" xfId="128"/>
    <cellStyle name="Milliers 2 2 8 2" xfId="129"/>
    <cellStyle name="Milliers 2 2 9" xfId="130"/>
    <cellStyle name="Milliers 2 2 9 2" xfId="131"/>
    <cellStyle name="Milliers 2 20" xfId="132"/>
    <cellStyle name="Milliers 2 20 2" xfId="133"/>
    <cellStyle name="Milliers 2 21" xfId="134"/>
    <cellStyle name="Milliers 2 21 2" xfId="135"/>
    <cellStyle name="Milliers 2 22" xfId="136"/>
    <cellStyle name="Milliers 2 22 2" xfId="137"/>
    <cellStyle name="Milliers 2 23" xfId="138"/>
    <cellStyle name="Milliers 2 23 2" xfId="139"/>
    <cellStyle name="Milliers 2 24" xfId="140"/>
    <cellStyle name="Milliers 2 24 2" xfId="141"/>
    <cellStyle name="Milliers 2 25" xfId="142"/>
    <cellStyle name="Milliers 2 25 2" xfId="143"/>
    <cellStyle name="Milliers 2 26" xfId="144"/>
    <cellStyle name="Milliers 2 26 2" xfId="145"/>
    <cellStyle name="Milliers 2 27" xfId="146"/>
    <cellStyle name="Milliers 2 27 2" xfId="147"/>
    <cellStyle name="Milliers 2 28" xfId="148"/>
    <cellStyle name="Milliers 2 28 2" xfId="149"/>
    <cellStyle name="Milliers 2 29" xfId="150"/>
    <cellStyle name="Milliers 2 29 2" xfId="151"/>
    <cellStyle name="Milliers 2 3" xfId="152"/>
    <cellStyle name="Milliers 2 3 2" xfId="153"/>
    <cellStyle name="Milliers 2 30" xfId="154"/>
    <cellStyle name="Milliers 2 30 2" xfId="155"/>
    <cellStyle name="Milliers 2 31" xfId="156"/>
    <cellStyle name="Milliers 2 31 2" xfId="157"/>
    <cellStyle name="Milliers 2 32" xfId="158"/>
    <cellStyle name="Milliers 2 32 2" xfId="159"/>
    <cellStyle name="Milliers 2 33" xfId="160"/>
    <cellStyle name="Milliers 2 33 2" xfId="161"/>
    <cellStyle name="Milliers 2 34" xfId="162"/>
    <cellStyle name="Milliers 2 34 2" xfId="163"/>
    <cellStyle name="Milliers 2 35" xfId="164"/>
    <cellStyle name="Milliers 2 35 2" xfId="165"/>
    <cellStyle name="Milliers 2 36" xfId="166"/>
    <cellStyle name="Milliers 2 36 2" xfId="167"/>
    <cellStyle name="Milliers 2 37" xfId="168"/>
    <cellStyle name="Milliers 2 37 2" xfId="169"/>
    <cellStyle name="Milliers 2 38" xfId="170"/>
    <cellStyle name="Milliers 2 38 2" xfId="171"/>
    <cellStyle name="Milliers 2 39" xfId="172"/>
    <cellStyle name="Milliers 2 39 2" xfId="173"/>
    <cellStyle name="Milliers 2 4" xfId="174"/>
    <cellStyle name="Milliers 2 4 2" xfId="175"/>
    <cellStyle name="Milliers 2 40" xfId="176"/>
    <cellStyle name="Milliers 2 40 2" xfId="177"/>
    <cellStyle name="Milliers 2 41" xfId="178"/>
    <cellStyle name="Milliers 2 41 2" xfId="179"/>
    <cellStyle name="Milliers 2 42" xfId="180"/>
    <cellStyle name="Milliers 2 42 2" xfId="181"/>
    <cellStyle name="Milliers 2 43" xfId="182"/>
    <cellStyle name="Milliers 2 43 2" xfId="183"/>
    <cellStyle name="Milliers 2 44" xfId="184"/>
    <cellStyle name="Milliers 2 44 2" xfId="185"/>
    <cellStyle name="Milliers 2 45" xfId="186"/>
    <cellStyle name="Milliers 2 45 2" xfId="187"/>
    <cellStyle name="Milliers 2 46" xfId="188"/>
    <cellStyle name="Milliers 2 46 2" xfId="189"/>
    <cellStyle name="Milliers 2 47" xfId="190"/>
    <cellStyle name="Milliers 2 47 2" xfId="191"/>
    <cellStyle name="Milliers 2 48" xfId="192"/>
    <cellStyle name="Milliers 2 5" xfId="193"/>
    <cellStyle name="Milliers 2 5 2" xfId="194"/>
    <cellStyle name="Milliers 2 6" xfId="195"/>
    <cellStyle name="Milliers 2 6 2" xfId="196"/>
    <cellStyle name="Milliers 2 7" xfId="197"/>
    <cellStyle name="Milliers 2 7 2" xfId="198"/>
    <cellStyle name="Milliers 2 8" xfId="199"/>
    <cellStyle name="Milliers 2 8 2" xfId="200"/>
    <cellStyle name="Milliers 2 9" xfId="201"/>
    <cellStyle name="Milliers 2 9 2" xfId="202"/>
    <cellStyle name="Milliers 20" xfId="637"/>
    <cellStyle name="Milliers 3" xfId="4"/>
    <cellStyle name="Milliers 3 2" xfId="203"/>
    <cellStyle name="Milliers 3 2 2" xfId="204"/>
    <cellStyle name="Milliers 3 3" xfId="205"/>
    <cellStyle name="Milliers 3 4" xfId="641"/>
    <cellStyle name="Milliers 4" xfId="5"/>
    <cellStyle name="Milliers 4 2" xfId="206"/>
    <cellStyle name="Milliers 4 3" xfId="207"/>
    <cellStyle name="Milliers 4 4" xfId="434"/>
    <cellStyle name="Milliers 5" xfId="208"/>
    <cellStyle name="Milliers 5 2" xfId="209"/>
    <cellStyle name="Milliers 5 2 2" xfId="210"/>
    <cellStyle name="Milliers 5 3" xfId="211"/>
    <cellStyle name="Milliers 6" xfId="212"/>
    <cellStyle name="Milliers 6 2" xfId="213"/>
    <cellStyle name="Milliers 7" xfId="214"/>
    <cellStyle name="Milliers 7 2" xfId="215"/>
    <cellStyle name="Milliers 8" xfId="216"/>
    <cellStyle name="Milliers 8 2" xfId="217"/>
    <cellStyle name="Milliers 9" xfId="218"/>
    <cellStyle name="Milliers 9 2" xfId="219"/>
    <cellStyle name="NiveauLigne_4" xfId="1" builtinId="1" iLevel="3"/>
    <cellStyle name="Normal" xfId="0" builtinId="0"/>
    <cellStyle name="Normal 10" xfId="6"/>
    <cellStyle name="Normal 11" xfId="220"/>
    <cellStyle name="Normal 12" xfId="221"/>
    <cellStyle name="Normal 13" xfId="222"/>
    <cellStyle name="Normal 14" xfId="223"/>
    <cellStyle name="Normal 15" xfId="224"/>
    <cellStyle name="Normal 16" xfId="225"/>
    <cellStyle name="Normal 17" xfId="226"/>
    <cellStyle name="Normal 18" xfId="227"/>
    <cellStyle name="Normal 19" xfId="228"/>
    <cellStyle name="Normal 2" xfId="7"/>
    <cellStyle name="Normal 2 10" xfId="229"/>
    <cellStyle name="Normal 2 2" xfId="8"/>
    <cellStyle name="Normal 2 2 10" xfId="435"/>
    <cellStyle name="Normal 2 2 10 2" xfId="436"/>
    <cellStyle name="Normal 2 2 11" xfId="437"/>
    <cellStyle name="Normal 2 2 11 2" xfId="438"/>
    <cellStyle name="Normal 2 2 12" xfId="439"/>
    <cellStyle name="Normal 2 2 12 2" xfId="440"/>
    <cellStyle name="Normal 2 2 13" xfId="441"/>
    <cellStyle name="Normal 2 2 13 2" xfId="442"/>
    <cellStyle name="Normal 2 2 14" xfId="443"/>
    <cellStyle name="Normal 2 2 14 2" xfId="444"/>
    <cellStyle name="Normal 2 2 15" xfId="445"/>
    <cellStyle name="Normal 2 2 15 2" xfId="446"/>
    <cellStyle name="Normal 2 2 16" xfId="447"/>
    <cellStyle name="Normal 2 2 16 2" xfId="448"/>
    <cellStyle name="Normal 2 2 17" xfId="449"/>
    <cellStyle name="Normal 2 2 17 2" xfId="450"/>
    <cellStyle name="Normal 2 2 18" xfId="451"/>
    <cellStyle name="Normal 2 2 18 2" xfId="452"/>
    <cellStyle name="Normal 2 2 19" xfId="453"/>
    <cellStyle name="Normal 2 2 19 2" xfId="454"/>
    <cellStyle name="Normal 2 2 2" xfId="9"/>
    <cellStyle name="Normal 2 2 2 10" xfId="455"/>
    <cellStyle name="Normal 2 2 2 11" xfId="456"/>
    <cellStyle name="Normal 2 2 2 12" xfId="457"/>
    <cellStyle name="Normal 2 2 2 13" xfId="458"/>
    <cellStyle name="Normal 2 2 2 14" xfId="459"/>
    <cellStyle name="Normal 2 2 2 15" xfId="460"/>
    <cellStyle name="Normal 2 2 2 16" xfId="461"/>
    <cellStyle name="Normal 2 2 2 17" xfId="462"/>
    <cellStyle name="Normal 2 2 2 18" xfId="463"/>
    <cellStyle name="Normal 2 2 2 19" xfId="464"/>
    <cellStyle name="Normal 2 2 2 2" xfId="465"/>
    <cellStyle name="Normal 2 2 2 2 10" xfId="466"/>
    <cellStyle name="Normal 2 2 2 2 10 2" xfId="467"/>
    <cellStyle name="Normal 2 2 2 2 11" xfId="468"/>
    <cellStyle name="Normal 2 2 2 2 11 2" xfId="469"/>
    <cellStyle name="Normal 2 2 2 2 12" xfId="470"/>
    <cellStyle name="Normal 2 2 2 2 12 2" xfId="471"/>
    <cellStyle name="Normal 2 2 2 2 13" xfId="472"/>
    <cellStyle name="Normal 2 2 2 2 13 2" xfId="473"/>
    <cellStyle name="Normal 2 2 2 2 14" xfId="474"/>
    <cellStyle name="Normal 2 2 2 2 14 2" xfId="475"/>
    <cellStyle name="Normal 2 2 2 2 15" xfId="476"/>
    <cellStyle name="Normal 2 2 2 2 15 2" xfId="477"/>
    <cellStyle name="Normal 2 2 2 2 16" xfId="478"/>
    <cellStyle name="Normal 2 2 2 2 16 2" xfId="479"/>
    <cellStyle name="Normal 2 2 2 2 17" xfId="480"/>
    <cellStyle name="Normal 2 2 2 2 17 2" xfId="481"/>
    <cellStyle name="Normal 2 2 2 2 18" xfId="482"/>
    <cellStyle name="Normal 2 2 2 2 18 2" xfId="483"/>
    <cellStyle name="Normal 2 2 2 2 19" xfId="484"/>
    <cellStyle name="Normal 2 2 2 2 19 2" xfId="485"/>
    <cellStyle name="Normal 2 2 2 2 2" xfId="486"/>
    <cellStyle name="Normal 2 2 2 2 2 10" xfId="487"/>
    <cellStyle name="Normal 2 2 2 2 2 11" xfId="488"/>
    <cellStyle name="Normal 2 2 2 2 2 12" xfId="489"/>
    <cellStyle name="Normal 2 2 2 2 2 13" xfId="490"/>
    <cellStyle name="Normal 2 2 2 2 2 14" xfId="491"/>
    <cellStyle name="Normal 2 2 2 2 2 15" xfId="492"/>
    <cellStyle name="Normal 2 2 2 2 2 16" xfId="493"/>
    <cellStyle name="Normal 2 2 2 2 2 17" xfId="494"/>
    <cellStyle name="Normal 2 2 2 2 2 18" xfId="495"/>
    <cellStyle name="Normal 2 2 2 2 2 19" xfId="496"/>
    <cellStyle name="Normal 2 2 2 2 2 2" xfId="497"/>
    <cellStyle name="Normal 2 2 2 2 2 2 2" xfId="498"/>
    <cellStyle name="Normal 2 2 2 2 2 2 2 2" xfId="499"/>
    <cellStyle name="Normal 2 2 2 2 2 2 3" xfId="500"/>
    <cellStyle name="Normal 2 2 2 2 2 2 4" xfId="501"/>
    <cellStyle name="Normal 2 2 2 2 2 20" xfId="502"/>
    <cellStyle name="Normal 2 2 2 2 2 21" xfId="503"/>
    <cellStyle name="Normal 2 2 2 2 2 22" xfId="504"/>
    <cellStyle name="Normal 2 2 2 2 2 23" xfId="505"/>
    <cellStyle name="Normal 2 2 2 2 2 23 2" xfId="506"/>
    <cellStyle name="Normal 2 2 2 2 2 24" xfId="507"/>
    <cellStyle name="Normal 2 2 2 2 2 3" xfId="508"/>
    <cellStyle name="Normal 2 2 2 2 2 4" xfId="509"/>
    <cellStyle name="Normal 2 2 2 2 2 5" xfId="510"/>
    <cellStyle name="Normal 2 2 2 2 2 6" xfId="511"/>
    <cellStyle name="Normal 2 2 2 2 2 7" xfId="512"/>
    <cellStyle name="Normal 2 2 2 2 2 8" xfId="513"/>
    <cellStyle name="Normal 2 2 2 2 2 9" xfId="514"/>
    <cellStyle name="Normal 2 2 2 2 20" xfId="515"/>
    <cellStyle name="Normal 2 2 2 2 20 2" xfId="516"/>
    <cellStyle name="Normal 2 2 2 2 21" xfId="517"/>
    <cellStyle name="Normal 2 2 2 2 21 2" xfId="518"/>
    <cellStyle name="Normal 2 2 2 2 22" xfId="519"/>
    <cellStyle name="Normal 2 2 2 2 22 2" xfId="520"/>
    <cellStyle name="Normal 2 2 2 2 23" xfId="521"/>
    <cellStyle name="Normal 2 2 2 2 23 2" xfId="522"/>
    <cellStyle name="Normal 2 2 2 2 24" xfId="523"/>
    <cellStyle name="Normal 2 2 2 2 3" xfId="524"/>
    <cellStyle name="Normal 2 2 2 2 3 2" xfId="525"/>
    <cellStyle name="Normal 2 2 2 2 4" xfId="526"/>
    <cellStyle name="Normal 2 2 2 2 4 2" xfId="527"/>
    <cellStyle name="Normal 2 2 2 2 5" xfId="528"/>
    <cellStyle name="Normal 2 2 2 2 5 2" xfId="529"/>
    <cellStyle name="Normal 2 2 2 2 6" xfId="530"/>
    <cellStyle name="Normal 2 2 2 2 6 2" xfId="531"/>
    <cellStyle name="Normal 2 2 2 2 7" xfId="532"/>
    <cellStyle name="Normal 2 2 2 2 7 2" xfId="533"/>
    <cellStyle name="Normal 2 2 2 2 8" xfId="534"/>
    <cellStyle name="Normal 2 2 2 2 8 2" xfId="535"/>
    <cellStyle name="Normal 2 2 2 2 9" xfId="536"/>
    <cellStyle name="Normal 2 2 2 2 9 2" xfId="537"/>
    <cellStyle name="Normal 2 2 2 20" xfId="538"/>
    <cellStyle name="Normal 2 2 2 21" xfId="539"/>
    <cellStyle name="Normal 2 2 2 22" xfId="540"/>
    <cellStyle name="Normal 2 2 2 23" xfId="541"/>
    <cellStyle name="Normal 2 2 2 24" xfId="542"/>
    <cellStyle name="Normal 2 2 2 24 2" xfId="543"/>
    <cellStyle name="Normal 2 2 2 25" xfId="544"/>
    <cellStyle name="Normal 2 2 2 3" xfId="545"/>
    <cellStyle name="Normal 2 2 2 4" xfId="546"/>
    <cellStyle name="Normal 2 2 2 5" xfId="547"/>
    <cellStyle name="Normal 2 2 2 6" xfId="548"/>
    <cellStyle name="Normal 2 2 2 7" xfId="549"/>
    <cellStyle name="Normal 2 2 2 8" xfId="550"/>
    <cellStyle name="Normal 2 2 2 9" xfId="551"/>
    <cellStyle name="Normal 2 2 20" xfId="552"/>
    <cellStyle name="Normal 2 2 20 2" xfId="553"/>
    <cellStyle name="Normal 2 2 21" xfId="554"/>
    <cellStyle name="Normal 2 2 21 2" xfId="555"/>
    <cellStyle name="Normal 2 2 22" xfId="556"/>
    <cellStyle name="Normal 2 2 22 2" xfId="557"/>
    <cellStyle name="Normal 2 2 23" xfId="558"/>
    <cellStyle name="Normal 2 2 23 2" xfId="559"/>
    <cellStyle name="Normal 2 2 24" xfId="560"/>
    <cellStyle name="Normal 2 2 24 2" xfId="561"/>
    <cellStyle name="Normal 2 2 25" xfId="562"/>
    <cellStyle name="Normal 2 2 25 2" xfId="563"/>
    <cellStyle name="Normal 2 2 26" xfId="564"/>
    <cellStyle name="Normal 2 2 26 2" xfId="565"/>
    <cellStyle name="Normal 2 2 27" xfId="566"/>
    <cellStyle name="Normal 2 2 3" xfId="567"/>
    <cellStyle name="Normal 2 2 4" xfId="568"/>
    <cellStyle name="Normal 2 2 5" xfId="569"/>
    <cellStyle name="Normal 2 2 5 10" xfId="570"/>
    <cellStyle name="Normal 2 2 5 11" xfId="571"/>
    <cellStyle name="Normal 2 2 5 12" xfId="572"/>
    <cellStyle name="Normal 2 2 5 13" xfId="573"/>
    <cellStyle name="Normal 2 2 5 14" xfId="574"/>
    <cellStyle name="Normal 2 2 5 15" xfId="575"/>
    <cellStyle name="Normal 2 2 5 16" xfId="576"/>
    <cellStyle name="Normal 2 2 5 17" xfId="577"/>
    <cellStyle name="Normal 2 2 5 18" xfId="578"/>
    <cellStyle name="Normal 2 2 5 19" xfId="579"/>
    <cellStyle name="Normal 2 2 5 2" xfId="580"/>
    <cellStyle name="Normal 2 2 5 20" xfId="581"/>
    <cellStyle name="Normal 2 2 5 21" xfId="582"/>
    <cellStyle name="Normal 2 2 5 22" xfId="583"/>
    <cellStyle name="Normal 2 2 5 23" xfId="584"/>
    <cellStyle name="Normal 2 2 5 3" xfId="585"/>
    <cellStyle name="Normal 2 2 5 4" xfId="586"/>
    <cellStyle name="Normal 2 2 5 5" xfId="587"/>
    <cellStyle name="Normal 2 2 5 6" xfId="588"/>
    <cellStyle name="Normal 2 2 5 7" xfId="589"/>
    <cellStyle name="Normal 2 2 5 8" xfId="590"/>
    <cellStyle name="Normal 2 2 5 9" xfId="591"/>
    <cellStyle name="Normal 2 2 6" xfId="592"/>
    <cellStyle name="Normal 2 2 6 2" xfId="593"/>
    <cellStyle name="Normal 2 2 7" xfId="594"/>
    <cellStyle name="Normal 2 2 7 2" xfId="595"/>
    <cellStyle name="Normal 2 2 8" xfId="596"/>
    <cellStyle name="Normal 2 2 8 2" xfId="597"/>
    <cellStyle name="Normal 2 2 9" xfId="598"/>
    <cellStyle name="Normal 2 2 9 2" xfId="599"/>
    <cellStyle name="Normal 2 3" xfId="230"/>
    <cellStyle name="Normal 2 3 2" xfId="231"/>
    <cellStyle name="Normal 2 3 3" xfId="600"/>
    <cellStyle name="Normal 2 4" xfId="232"/>
    <cellStyle name="Normal 2 4 2" xfId="601"/>
    <cellStyle name="Normal 2 5" xfId="233"/>
    <cellStyle name="Normal 2 5 2" xfId="602"/>
    <cellStyle name="Normal 2 6" xfId="234"/>
    <cellStyle name="Normal 2 7" xfId="235"/>
    <cellStyle name="Normal 2 8" xfId="236"/>
    <cellStyle name="Normal 2 9" xfId="237"/>
    <cellStyle name="Normal 20" xfId="238"/>
    <cellStyle name="Normal 21" xfId="239"/>
    <cellStyle name="Normal 22" xfId="240"/>
    <cellStyle name="Normal 23" xfId="241"/>
    <cellStyle name="Normal 24" xfId="242"/>
    <cellStyle name="Normal 25" xfId="243"/>
    <cellStyle name="Normal 26" xfId="244"/>
    <cellStyle name="Normal 27" xfId="245"/>
    <cellStyle name="Normal 28" xfId="246"/>
    <cellStyle name="Normal 29" xfId="247"/>
    <cellStyle name="Normal 3" xfId="10"/>
    <cellStyle name="Normal 3 10" xfId="603"/>
    <cellStyle name="Normal 3 11" xfId="604"/>
    <cellStyle name="Normal 3 12" xfId="605"/>
    <cellStyle name="Normal 3 13" xfId="606"/>
    <cellStyle name="Normal 3 14" xfId="607"/>
    <cellStyle name="Normal 3 15" xfId="608"/>
    <cellStyle name="Normal 3 16" xfId="609"/>
    <cellStyle name="Normal 3 17" xfId="610"/>
    <cellStyle name="Normal 3 18" xfId="611"/>
    <cellStyle name="Normal 3 19" xfId="612"/>
    <cellStyle name="Normal 3 2" xfId="248"/>
    <cellStyle name="Normal 3 2 2" xfId="613"/>
    <cellStyle name="Normal 3 20" xfId="614"/>
    <cellStyle name="Normal 3 21" xfId="615"/>
    <cellStyle name="Normal 3 22" xfId="616"/>
    <cellStyle name="Normal 3 23" xfId="617"/>
    <cellStyle name="Normal 3 3" xfId="249"/>
    <cellStyle name="Normal 3 4" xfId="618"/>
    <cellStyle name="Normal 3 5" xfId="619"/>
    <cellStyle name="Normal 3 6" xfId="620"/>
    <cellStyle name="Normal 3 7" xfId="621"/>
    <cellStyle name="Normal 3 8" xfId="622"/>
    <cellStyle name="Normal 3 9" xfId="623"/>
    <cellStyle name="Normal 30" xfId="250"/>
    <cellStyle name="Normal 31" xfId="251"/>
    <cellStyle name="Normal 32" xfId="252"/>
    <cellStyle name="Normal 33" xfId="253"/>
    <cellStyle name="Normal 34" xfId="254"/>
    <cellStyle name="Normal 35" xfId="11"/>
    <cellStyle name="Normal 35 2" xfId="255"/>
    <cellStyle name="Normal 35 3" xfId="256"/>
    <cellStyle name="Normal 36" xfId="257"/>
    <cellStyle name="Normal 37" xfId="258"/>
    <cellStyle name="Normal 38" xfId="259"/>
    <cellStyle name="Normal 39" xfId="260"/>
    <cellStyle name="Normal 4" xfId="261"/>
    <cellStyle name="Normal 4 2" xfId="262"/>
    <cellStyle name="Normal 4 3" xfId="263"/>
    <cellStyle name="Normal 40" xfId="264"/>
    <cellStyle name="Normal 41" xfId="265"/>
    <cellStyle name="Normal 42" xfId="266"/>
    <cellStyle name="Normal 43" xfId="267"/>
    <cellStyle name="Normal 44" xfId="268"/>
    <cellStyle name="Normal 45" xfId="269"/>
    <cellStyle name="Normal 46" xfId="270"/>
    <cellStyle name="Normal 47" xfId="271"/>
    <cellStyle name="Normal 48" xfId="272"/>
    <cellStyle name="Normal 49" xfId="273"/>
    <cellStyle name="Normal 5" xfId="274"/>
    <cellStyle name="Normal 5 2" xfId="275"/>
    <cellStyle name="Normal 50" xfId="276"/>
    <cellStyle name="Normal 50 2" xfId="277"/>
    <cellStyle name="Normal 51" xfId="278"/>
    <cellStyle name="Normal 52" xfId="279"/>
    <cellStyle name="Normal 53" xfId="280"/>
    <cellStyle name="Normal 54" xfId="281"/>
    <cellStyle name="Normal 55" xfId="282"/>
    <cellStyle name="Normal 55 2" xfId="283"/>
    <cellStyle name="Normal 56" xfId="284"/>
    <cellStyle name="Normal 56 2" xfId="285"/>
    <cellStyle name="Normal 57" xfId="286"/>
    <cellStyle name="Normal 58" xfId="624"/>
    <cellStyle name="Normal 59" xfId="625"/>
    <cellStyle name="Normal 6" xfId="12"/>
    <cellStyle name="Normal 6 2" xfId="287"/>
    <cellStyle name="Normal 6 3" xfId="288"/>
    <cellStyle name="Normal 60" xfId="626"/>
    <cellStyle name="Normal 61" xfId="627"/>
    <cellStyle name="Normal 62" xfId="628"/>
    <cellStyle name="Normal 63" xfId="629"/>
    <cellStyle name="Normal 64" xfId="630"/>
    <cellStyle name="Normal 65" xfId="631"/>
    <cellStyle name="Normal 66" xfId="638"/>
    <cellStyle name="Normal 67" xfId="639"/>
    <cellStyle name="Normal 68" xfId="640"/>
    <cellStyle name="Normal 7" xfId="289"/>
    <cellStyle name="Normal 7 10" xfId="13"/>
    <cellStyle name="Normal 7 11" xfId="290"/>
    <cellStyle name="Normal 7 12" xfId="291"/>
    <cellStyle name="Normal 7 13" xfId="292"/>
    <cellStyle name="Normal 7 14" xfId="293"/>
    <cellStyle name="Normal 7 15" xfId="294"/>
    <cellStyle name="Normal 7 16" xfId="295"/>
    <cellStyle name="Normal 7 17" xfId="296"/>
    <cellStyle name="Normal 7 18" xfId="297"/>
    <cellStyle name="Normal 7 19" xfId="298"/>
    <cellStyle name="Normal 7 2" xfId="299"/>
    <cellStyle name="Normal 7 20" xfId="300"/>
    <cellStyle name="Normal 7 21" xfId="301"/>
    <cellStyle name="Normal 7 22" xfId="302"/>
    <cellStyle name="Normal 7 23" xfId="303"/>
    <cellStyle name="Normal 7 24" xfId="304"/>
    <cellStyle name="Normal 7 25" xfId="305"/>
    <cellStyle name="Normal 7 26" xfId="306"/>
    <cellStyle name="Normal 7 27" xfId="307"/>
    <cellStyle name="Normal 7 28" xfId="308"/>
    <cellStyle name="Normal 7 29" xfId="309"/>
    <cellStyle name="Normal 7 3" xfId="310"/>
    <cellStyle name="Normal 7 30" xfId="311"/>
    <cellStyle name="Normal 7 31" xfId="312"/>
    <cellStyle name="Normal 7 32" xfId="313"/>
    <cellStyle name="Normal 7 33" xfId="314"/>
    <cellStyle name="Normal 7 34" xfId="315"/>
    <cellStyle name="Normal 7 35" xfId="316"/>
    <cellStyle name="Normal 7 36" xfId="317"/>
    <cellStyle name="Normal 7 37" xfId="318"/>
    <cellStyle name="Normal 7 38" xfId="319"/>
    <cellStyle name="Normal 7 39" xfId="320"/>
    <cellStyle name="Normal 7 4" xfId="321"/>
    <cellStyle name="Normal 7 40" xfId="322"/>
    <cellStyle name="Normal 7 41" xfId="323"/>
    <cellStyle name="Normal 7 42" xfId="324"/>
    <cellStyle name="Normal 7 43" xfId="325"/>
    <cellStyle name="Normal 7 44" xfId="326"/>
    <cellStyle name="Normal 7 45" xfId="327"/>
    <cellStyle name="Normal 7 46" xfId="328"/>
    <cellStyle name="Normal 7 5" xfId="329"/>
    <cellStyle name="Normal 7 6" xfId="330"/>
    <cellStyle name="Normal 7 7" xfId="331"/>
    <cellStyle name="Normal 7 8" xfId="332"/>
    <cellStyle name="Normal 7 9" xfId="333"/>
    <cellStyle name="Normal 8" xfId="334"/>
    <cellStyle name="Normal 8 10" xfId="335"/>
    <cellStyle name="Normal 8 11" xfId="336"/>
    <cellStyle name="Normal 8 12" xfId="337"/>
    <cellStyle name="Normal 8 13" xfId="338"/>
    <cellStyle name="Normal 8 14" xfId="339"/>
    <cellStyle name="Normal 8 15" xfId="340"/>
    <cellStyle name="Normal 8 16" xfId="341"/>
    <cellStyle name="Normal 8 17" xfId="342"/>
    <cellStyle name="Normal 8 18" xfId="343"/>
    <cellStyle name="Normal 8 19" xfId="344"/>
    <cellStyle name="Normal 8 2" xfId="345"/>
    <cellStyle name="Normal 8 20" xfId="346"/>
    <cellStyle name="Normal 8 21" xfId="347"/>
    <cellStyle name="Normal 8 22" xfId="348"/>
    <cellStyle name="Normal 8 23" xfId="349"/>
    <cellStyle name="Normal 8 24" xfId="350"/>
    <cellStyle name="Normal 8 25" xfId="351"/>
    <cellStyle name="Normal 8 26" xfId="352"/>
    <cellStyle name="Normal 8 27" xfId="353"/>
    <cellStyle name="Normal 8 28" xfId="354"/>
    <cellStyle name="Normal 8 29" xfId="355"/>
    <cellStyle name="Normal 8 3" xfId="356"/>
    <cellStyle name="Normal 8 30" xfId="357"/>
    <cellStyle name="Normal 8 31" xfId="358"/>
    <cellStyle name="Normal 8 32" xfId="359"/>
    <cellStyle name="Normal 8 33" xfId="360"/>
    <cellStyle name="Normal 8 34" xfId="361"/>
    <cellStyle name="Normal 8 35" xfId="362"/>
    <cellStyle name="Normal 8 36" xfId="363"/>
    <cellStyle name="Normal 8 37" xfId="364"/>
    <cellStyle name="Normal 8 38" xfId="365"/>
    <cellStyle name="Normal 8 39" xfId="366"/>
    <cellStyle name="Normal 8 4" xfId="367"/>
    <cellStyle name="Normal 8 40" xfId="368"/>
    <cellStyle name="Normal 8 41" xfId="369"/>
    <cellStyle name="Normal 8 42" xfId="370"/>
    <cellStyle name="Normal 8 43" xfId="371"/>
    <cellStyle name="Normal 8 44" xfId="372"/>
    <cellStyle name="Normal 8 45" xfId="373"/>
    <cellStyle name="Normal 8 46" xfId="374"/>
    <cellStyle name="Normal 8 5" xfId="375"/>
    <cellStyle name="Normal 8 6" xfId="376"/>
    <cellStyle name="Normal 8 7" xfId="377"/>
    <cellStyle name="Normal 8 8" xfId="378"/>
    <cellStyle name="Normal 8 9" xfId="379"/>
    <cellStyle name="Normal 9" xfId="380"/>
    <cellStyle name="Normal 9 10" xfId="381"/>
    <cellStyle name="Normal 9 11" xfId="382"/>
    <cellStyle name="Normal 9 12" xfId="383"/>
    <cellStyle name="Normal 9 13" xfId="384"/>
    <cellStyle name="Normal 9 14" xfId="385"/>
    <cellStyle name="Normal 9 15" xfId="386"/>
    <cellStyle name="Normal 9 16" xfId="387"/>
    <cellStyle name="Normal 9 17" xfId="388"/>
    <cellStyle name="Normal 9 18" xfId="389"/>
    <cellStyle name="Normal 9 19" xfId="390"/>
    <cellStyle name="Normal 9 2" xfId="391"/>
    <cellStyle name="Normal 9 20" xfId="392"/>
    <cellStyle name="Normal 9 21" xfId="393"/>
    <cellStyle name="Normal 9 22" xfId="394"/>
    <cellStyle name="Normal 9 23" xfId="395"/>
    <cellStyle name="Normal 9 24" xfId="396"/>
    <cellStyle name="Normal 9 25" xfId="397"/>
    <cellStyle name="Normal 9 26" xfId="398"/>
    <cellStyle name="Normal 9 27" xfId="399"/>
    <cellStyle name="Normal 9 28" xfId="400"/>
    <cellStyle name="Normal 9 29" xfId="401"/>
    <cellStyle name="Normal 9 3" xfId="402"/>
    <cellStyle name="Normal 9 30" xfId="403"/>
    <cellStyle name="Normal 9 31" xfId="404"/>
    <cellStyle name="Normal 9 32" xfId="405"/>
    <cellStyle name="Normal 9 33" xfId="406"/>
    <cellStyle name="Normal 9 34" xfId="407"/>
    <cellStyle name="Normal 9 35" xfId="408"/>
    <cellStyle name="Normal 9 36" xfId="409"/>
    <cellStyle name="Normal 9 37" xfId="410"/>
    <cellStyle name="Normal 9 38" xfId="411"/>
    <cellStyle name="Normal 9 39" xfId="412"/>
    <cellStyle name="Normal 9 4" xfId="413"/>
    <cellStyle name="Normal 9 40" xfId="414"/>
    <cellStyle name="Normal 9 41" xfId="415"/>
    <cellStyle name="Normal 9 42" xfId="416"/>
    <cellStyle name="Normal 9 43" xfId="417"/>
    <cellStyle name="Normal 9 44" xfId="418"/>
    <cellStyle name="Normal 9 45" xfId="419"/>
    <cellStyle name="Normal 9 46" xfId="420"/>
    <cellStyle name="Normal 9 5" xfId="421"/>
    <cellStyle name="Normal 9 6" xfId="422"/>
    <cellStyle name="Normal 9 7" xfId="423"/>
    <cellStyle name="Normal 9 8" xfId="424"/>
    <cellStyle name="Normal 9 9" xfId="425"/>
    <cellStyle name="Pourcentage 2" xfId="426"/>
    <cellStyle name="Pourcentage 3" xfId="14"/>
  </cellStyles>
  <dxfs count="0"/>
  <tableStyles count="0" defaultTableStyle="TableStyleMedium9" defaultPivotStyle="PivotStyleLight16"/>
  <colors>
    <mruColors>
      <color rgb="FFA08A2E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23</xdr:row>
      <xdr:rowOff>38100</xdr:rowOff>
    </xdr:from>
    <xdr:to>
      <xdr:col>9</xdr:col>
      <xdr:colOff>793750</xdr:colOff>
      <xdr:row>25</xdr:row>
      <xdr:rowOff>57150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76200" y="11344275"/>
          <a:ext cx="7518400" cy="4000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fr-FR" sz="1600" b="1">
              <a:solidFill>
                <a:schemeClr val="dk1"/>
              </a:solidFill>
              <a:latin typeface="+mn-lt"/>
              <a:ea typeface="+mn-ea"/>
              <a:cs typeface="+mn-cs"/>
            </a:rPr>
            <a:t>Effectué par</a:t>
          </a:r>
          <a:r>
            <a:rPr lang="fr-FR" sz="1400" b="1">
              <a:solidFill>
                <a:schemeClr val="dk1"/>
              </a:solidFill>
              <a:latin typeface="+mn-lt"/>
              <a:ea typeface="+mn-ea"/>
              <a:cs typeface="+mn-cs"/>
            </a:rPr>
            <a:t> :    </a:t>
          </a:r>
          <a:r>
            <a:rPr lang="fr-F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Mahfoudh</a:t>
          </a:r>
          <a:r>
            <a:rPr lang="fr-F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OULD AHMEDNA &amp; El Ghacem OULD BOULEBATT</a:t>
          </a:r>
          <a:endParaRPr lang="fr-FR" sz="1600"/>
        </a:p>
      </xdr:txBody>
    </xdr:sp>
    <xdr:clientData/>
  </xdr:twoCellAnchor>
  <xdr:twoCellAnchor editAs="oneCell">
    <xdr:from>
      <xdr:col>5</xdr:col>
      <xdr:colOff>38100</xdr:colOff>
      <xdr:row>0</xdr:row>
      <xdr:rowOff>0</xdr:rowOff>
    </xdr:from>
    <xdr:to>
      <xdr:col>6</xdr:col>
      <xdr:colOff>600075</xdr:colOff>
      <xdr:row>2</xdr:row>
      <xdr:rowOff>190500</xdr:rowOff>
    </xdr:to>
    <xdr:pic>
      <xdr:nvPicPr>
        <xdr:cNvPr id="4" name="Image 3" descr="C:\Users\admin\Desktop\images.png">
          <a:extLst>
            <a:ext uri="{FF2B5EF4-FFF2-40B4-BE49-F238E27FC236}">
              <a16:creationId xmlns="" xmlns:a16="http://schemas.microsoft.com/office/drawing/2014/main" id="{F4151827-E7F9-44E9-A0EC-C962D90325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5" y="0"/>
          <a:ext cx="1143000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0</xdr:row>
      <xdr:rowOff>133349</xdr:rowOff>
    </xdr:from>
    <xdr:to>
      <xdr:col>7</xdr:col>
      <xdr:colOff>514350</xdr:colOff>
      <xdr:row>3</xdr:row>
      <xdr:rowOff>76199</xdr:rowOff>
    </xdr:to>
    <xdr:pic>
      <xdr:nvPicPr>
        <xdr:cNvPr id="2" name="Image 1" descr="C:\Users\admin\Desktop\images.png">
          <a:extLst>
            <a:ext uri="{FF2B5EF4-FFF2-40B4-BE49-F238E27FC236}">
              <a16:creationId xmlns="" xmlns:a16="http://schemas.microsoft.com/office/drawing/2014/main" id="{F90B2EA1-FD9F-41A9-B0D6-23FFCF33D4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33349"/>
          <a:ext cx="14287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361950" y="132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SpPr txBox="1"/>
      </xdr:nvSpPr>
      <xdr:spPr>
        <a:xfrm>
          <a:off x="361950" y="210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 txBox="1"/>
      </xdr:nvSpPr>
      <xdr:spPr>
        <a:xfrm>
          <a:off x="361950" y="210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361950" y="3190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7" name="ZoneTexte 6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SpPr txBox="1"/>
      </xdr:nvSpPr>
      <xdr:spPr>
        <a:xfrm>
          <a:off x="361950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 txBox="1"/>
      </xdr:nvSpPr>
      <xdr:spPr>
        <a:xfrm>
          <a:off x="361950" y="479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="" xmlns:a16="http://schemas.microsoft.com/office/drawing/2014/main" id="{00000000-0008-0000-1700-000009000000}"/>
            </a:ext>
          </a:extLst>
        </xdr:cNvPr>
        <xdr:cNvSpPr txBox="1"/>
      </xdr:nvSpPr>
      <xdr:spPr>
        <a:xfrm>
          <a:off x="361950" y="514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0</xdr:col>
      <xdr:colOff>361950</xdr:colOff>
      <xdr:row>7</xdr:row>
      <xdr:rowOff>0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=""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61950" y="7362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6" workbookViewId="0">
      <selection activeCell="A17" sqref="A17:J17"/>
    </sheetView>
  </sheetViews>
  <sheetFormatPr baseColWidth="10" defaultRowHeight="14.5"/>
  <cols>
    <col min="1" max="1" width="8.453125" customWidth="1"/>
    <col min="2" max="2" width="11.54296875" customWidth="1"/>
    <col min="3" max="3" width="12.1796875" customWidth="1"/>
    <col min="4" max="5" width="10" customWidth="1"/>
    <col min="6" max="6" width="8.7265625" customWidth="1"/>
    <col min="7" max="7" width="11.453125" customWidth="1"/>
    <col min="8" max="8" width="18.26953125" customWidth="1"/>
    <col min="10" max="10" width="13" customWidth="1"/>
  </cols>
  <sheetData>
    <row r="1" spans="1:10" ht="23.5">
      <c r="A1" s="352" t="s">
        <v>17</v>
      </c>
      <c r="B1" s="352"/>
      <c r="C1" s="352"/>
      <c r="D1" s="352"/>
      <c r="E1" s="352"/>
      <c r="F1" s="352"/>
      <c r="G1" s="39"/>
      <c r="H1" s="353" t="s">
        <v>18</v>
      </c>
      <c r="I1" s="353"/>
      <c r="J1" s="353"/>
    </row>
    <row r="2" spans="1:10" ht="18">
      <c r="A2" s="354" t="s">
        <v>56</v>
      </c>
      <c r="B2" s="354"/>
      <c r="C2" s="354"/>
      <c r="D2" s="354"/>
      <c r="E2" s="354"/>
      <c r="F2" s="354"/>
      <c r="G2" s="38" t="s">
        <v>20</v>
      </c>
      <c r="H2" s="355" t="s">
        <v>57</v>
      </c>
      <c r="I2" s="355"/>
      <c r="J2" s="355"/>
    </row>
    <row r="3" spans="1:10" ht="46.5" customHeight="1">
      <c r="A3" s="345" t="s">
        <v>58</v>
      </c>
      <c r="B3" s="345"/>
      <c r="C3" s="345"/>
      <c r="D3" s="345"/>
      <c r="E3" s="345"/>
      <c r="F3" s="345"/>
      <c r="G3" s="356" t="s">
        <v>59</v>
      </c>
      <c r="H3" s="356"/>
      <c r="I3" s="356"/>
      <c r="J3" s="356"/>
    </row>
    <row r="4" spans="1:10">
      <c r="A4" s="345" t="s">
        <v>1</v>
      </c>
      <c r="B4" s="345"/>
      <c r="C4" s="345"/>
      <c r="D4" s="345"/>
      <c r="E4" s="345"/>
      <c r="F4" s="345"/>
      <c r="G4" s="346" t="s">
        <v>60</v>
      </c>
      <c r="H4" s="346"/>
      <c r="I4" s="346"/>
      <c r="J4" s="346"/>
    </row>
    <row r="5" spans="1:10" ht="29.25" customHeight="1">
      <c r="A5" s="345"/>
      <c r="B5" s="345"/>
      <c r="C5" s="345"/>
      <c r="D5" s="345"/>
      <c r="E5" s="345"/>
      <c r="F5" s="345"/>
      <c r="G5" s="346"/>
      <c r="H5" s="346"/>
      <c r="I5" s="346"/>
      <c r="J5" s="346"/>
    </row>
    <row r="6" spans="1:10" ht="23">
      <c r="A6" s="40" t="s">
        <v>2</v>
      </c>
      <c r="B6" s="40"/>
      <c r="C6" s="40"/>
      <c r="D6" s="40"/>
      <c r="E6" s="40"/>
      <c r="F6" s="40"/>
      <c r="G6" s="41"/>
      <c r="H6" s="346" t="s">
        <v>23</v>
      </c>
      <c r="I6" s="346"/>
      <c r="J6" s="346"/>
    </row>
    <row r="11" spans="1:10" ht="15" thickBot="1">
      <c r="A11" s="42"/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15" thickTop="1">
      <c r="A12" s="347" t="s">
        <v>61</v>
      </c>
      <c r="B12" s="348"/>
      <c r="C12" s="348"/>
      <c r="D12" s="348"/>
      <c r="E12" s="348"/>
      <c r="F12" s="348"/>
      <c r="G12" s="348"/>
      <c r="H12" s="348"/>
      <c r="I12" s="348"/>
      <c r="J12" s="348"/>
    </row>
    <row r="13" spans="1:10">
      <c r="A13" s="349"/>
      <c r="B13" s="349"/>
      <c r="C13" s="349"/>
      <c r="D13" s="349"/>
      <c r="E13" s="349"/>
      <c r="F13" s="349"/>
      <c r="G13" s="349"/>
      <c r="H13" s="349"/>
      <c r="I13" s="349"/>
      <c r="J13" s="349"/>
    </row>
    <row r="14" spans="1:10" ht="37.5" customHeight="1">
      <c r="A14" s="349"/>
      <c r="B14" s="349"/>
      <c r="C14" s="349"/>
      <c r="D14" s="349"/>
      <c r="E14" s="349"/>
      <c r="F14" s="349"/>
      <c r="G14" s="349"/>
      <c r="H14" s="349"/>
      <c r="I14" s="349"/>
      <c r="J14" s="349"/>
    </row>
    <row r="15" spans="1:10" ht="100.5" customHeight="1" thickBot="1">
      <c r="A15" s="350"/>
      <c r="B15" s="350"/>
      <c r="C15" s="350"/>
      <c r="D15" s="350"/>
      <c r="E15" s="350"/>
      <c r="F15" s="350"/>
      <c r="G15" s="350"/>
      <c r="H15" s="350"/>
      <c r="I15" s="350"/>
      <c r="J15" s="350"/>
    </row>
    <row r="16" spans="1:10" ht="22.5" customHeight="1" thickTop="1">
      <c r="A16" t="s">
        <v>21</v>
      </c>
    </row>
    <row r="17" spans="1:12" ht="279" customHeight="1">
      <c r="A17" s="351" t="s">
        <v>125</v>
      </c>
      <c r="B17" s="351"/>
      <c r="C17" s="351"/>
      <c r="D17" s="351"/>
      <c r="E17" s="351"/>
      <c r="F17" s="351"/>
      <c r="G17" s="351"/>
      <c r="H17" s="351"/>
      <c r="I17" s="351"/>
      <c r="J17" s="351"/>
      <c r="L17" s="6"/>
    </row>
    <row r="18" spans="1:12" ht="3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L18" s="6"/>
    </row>
    <row r="20" spans="1:12" ht="28">
      <c r="A20" s="1" t="s">
        <v>126</v>
      </c>
      <c r="B20" s="1"/>
      <c r="C20" s="1"/>
      <c r="D20" s="1"/>
      <c r="E20" s="1"/>
      <c r="F20" s="1"/>
      <c r="G20" s="1"/>
      <c r="H20" s="1"/>
      <c r="I20" s="1"/>
      <c r="J20" s="1"/>
    </row>
    <row r="21" spans="1:12" ht="28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2" ht="28">
      <c r="A22" s="2"/>
      <c r="B22" s="2"/>
      <c r="C22" s="2"/>
      <c r="D22" s="2"/>
      <c r="E22" s="2"/>
      <c r="F22" s="2"/>
      <c r="G22" s="2"/>
      <c r="H22" s="2"/>
      <c r="I22" s="2"/>
      <c r="J22" s="2"/>
    </row>
    <row r="28" spans="1:12" ht="23.5">
      <c r="H28" s="344">
        <v>45293</v>
      </c>
      <c r="I28" s="344"/>
      <c r="J28" s="344"/>
    </row>
  </sheetData>
  <mergeCells count="13">
    <mergeCell ref="A1:F1"/>
    <mergeCell ref="H1:J1"/>
    <mergeCell ref="A2:F2"/>
    <mergeCell ref="H2:J2"/>
    <mergeCell ref="A3:F3"/>
    <mergeCell ref="G3:J3"/>
    <mergeCell ref="A20:J20"/>
    <mergeCell ref="H28:J28"/>
    <mergeCell ref="A4:F5"/>
    <mergeCell ref="G4:J5"/>
    <mergeCell ref="H6:J6"/>
    <mergeCell ref="A12:J15"/>
    <mergeCell ref="A17:J17"/>
  </mergeCells>
  <pageMargins left="0.7" right="0.7" top="0.75" bottom="0.75" header="0.3" footer="0.3"/>
  <pageSetup paperSize="9"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73"/>
  <sheetViews>
    <sheetView topLeftCell="A2" zoomScale="70" zoomScaleNormal="70" workbookViewId="0">
      <selection activeCell="A6" sqref="A6:XFD6"/>
    </sheetView>
  </sheetViews>
  <sheetFormatPr baseColWidth="10" defaultColWidth="11.453125" defaultRowHeight="15.5"/>
  <cols>
    <col min="1" max="1" width="21.453125" style="289" customWidth="1"/>
    <col min="2" max="2" width="18.26953125" style="290" customWidth="1"/>
    <col min="3" max="3" width="17.26953125" style="290" customWidth="1"/>
    <col min="4" max="5" width="19.7265625" style="290" bestFit="1" customWidth="1"/>
    <col min="6" max="6" width="19.7265625" style="290" customWidth="1"/>
    <col min="7" max="7" width="19.453125" style="290" customWidth="1"/>
    <col min="8" max="8" width="23.54296875" style="290" customWidth="1"/>
    <col min="9" max="16" width="26" style="290" customWidth="1"/>
    <col min="17" max="23" width="21.81640625" style="289" customWidth="1"/>
    <col min="24" max="16384" width="11.453125" style="289"/>
  </cols>
  <sheetData>
    <row r="1" spans="1:17" s="288" customFormat="1">
      <c r="A1" s="216" t="s">
        <v>0</v>
      </c>
      <c r="B1" s="216"/>
      <c r="C1" s="64"/>
      <c r="D1" s="64"/>
      <c r="E1" s="64"/>
      <c r="F1" s="64"/>
      <c r="G1" s="64"/>
      <c r="H1" s="216"/>
      <c r="N1" s="15"/>
      <c r="Q1" s="165"/>
    </row>
    <row r="2" spans="1:17" s="227" customFormat="1" ht="20.25" customHeight="1">
      <c r="A2" s="286" t="s">
        <v>49</v>
      </c>
      <c r="B2" s="226"/>
      <c r="C2" s="226"/>
      <c r="D2" s="226"/>
      <c r="E2" s="226"/>
      <c r="F2" s="226"/>
      <c r="G2" s="305"/>
      <c r="H2" s="21"/>
      <c r="N2" s="12"/>
      <c r="O2" s="306"/>
      <c r="P2" s="306"/>
    </row>
    <row r="3" spans="1:17" s="227" customFormat="1" ht="20.5">
      <c r="A3" s="286" t="s">
        <v>1</v>
      </c>
      <c r="B3" s="226"/>
      <c r="C3" s="226"/>
      <c r="D3" s="226"/>
      <c r="E3" s="226"/>
      <c r="F3" s="226"/>
      <c r="G3" s="305"/>
      <c r="H3" s="21"/>
      <c r="N3" s="12"/>
      <c r="O3" s="306"/>
      <c r="P3" s="306"/>
    </row>
    <row r="4" spans="1:17" s="227" customFormat="1" ht="20.5">
      <c r="A4" s="286" t="s">
        <v>2</v>
      </c>
      <c r="B4" s="226"/>
      <c r="C4" s="226"/>
      <c r="D4" s="226"/>
      <c r="E4" s="226"/>
      <c r="F4" s="226"/>
      <c r="G4" s="305"/>
      <c r="H4" s="21"/>
      <c r="N4" s="306"/>
      <c r="O4" s="306"/>
      <c r="P4" s="306"/>
    </row>
    <row r="5" spans="1:17" s="306" customFormat="1" ht="18.5">
      <c r="B5" s="307"/>
      <c r="C5" s="307"/>
      <c r="D5" s="307"/>
      <c r="E5" s="307"/>
      <c r="F5" s="307"/>
      <c r="G5" s="305"/>
      <c r="H5" s="21"/>
      <c r="I5" s="227"/>
      <c r="J5" s="227"/>
      <c r="K5" s="227"/>
      <c r="L5" s="227"/>
      <c r="M5" s="227"/>
      <c r="N5" s="307"/>
      <c r="O5" s="307"/>
      <c r="P5" s="307"/>
    </row>
    <row r="6" spans="1:17" s="308" customFormat="1">
      <c r="A6" s="308" t="s">
        <v>270</v>
      </c>
      <c r="B6" s="309"/>
      <c r="C6" s="309"/>
      <c r="D6" s="309"/>
      <c r="E6" s="310"/>
      <c r="F6" s="310"/>
    </row>
    <row r="7" spans="1:17" s="306" customFormat="1" ht="18.5"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</row>
    <row r="8" spans="1:17" s="306" customFormat="1" ht="18.5"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</row>
    <row r="9" spans="1:17" s="306" customFormat="1" ht="18.5">
      <c r="A9" s="357" t="s">
        <v>256</v>
      </c>
      <c r="B9" s="357"/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7"/>
      <c r="O9" s="357"/>
      <c r="P9" s="357"/>
      <c r="Q9" s="357"/>
    </row>
    <row r="11" spans="1:17" ht="46.5">
      <c r="A11" s="291" t="s">
        <v>45</v>
      </c>
      <c r="B11" s="291" t="s">
        <v>114</v>
      </c>
      <c r="C11" s="291" t="s">
        <v>9</v>
      </c>
      <c r="D11" s="291" t="s">
        <v>7</v>
      </c>
      <c r="E11" s="291" t="s">
        <v>8</v>
      </c>
      <c r="F11" s="291" t="s">
        <v>97</v>
      </c>
      <c r="G11" s="291" t="s">
        <v>115</v>
      </c>
      <c r="H11" s="291" t="s">
        <v>98</v>
      </c>
      <c r="I11" s="291" t="s">
        <v>96</v>
      </c>
      <c r="J11" s="291" t="s">
        <v>116</v>
      </c>
      <c r="K11" s="291" t="s">
        <v>124</v>
      </c>
      <c r="L11" s="291" t="s">
        <v>117</v>
      </c>
      <c r="M11" s="291" t="s">
        <v>132</v>
      </c>
      <c r="N11" s="291" t="s">
        <v>133</v>
      </c>
      <c r="O11" s="291" t="s">
        <v>134</v>
      </c>
      <c r="P11" s="291" t="s">
        <v>118</v>
      </c>
      <c r="Q11" s="291" t="s">
        <v>99</v>
      </c>
    </row>
    <row r="12" spans="1:17">
      <c r="A12" s="292"/>
      <c r="B12" s="293"/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>
        <f t="shared" ref="Q12:Q23" si="0">SUM(B12:P12)</f>
        <v>0</v>
      </c>
    </row>
    <row r="13" spans="1:17">
      <c r="A13" s="292"/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>
        <f t="shared" si="0"/>
        <v>0</v>
      </c>
    </row>
    <row r="14" spans="1:17">
      <c r="A14" s="292"/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>
        <f t="shared" si="0"/>
        <v>0</v>
      </c>
    </row>
    <row r="15" spans="1:17">
      <c r="A15" s="292"/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>
        <f t="shared" si="0"/>
        <v>0</v>
      </c>
    </row>
    <row r="16" spans="1:17">
      <c r="A16" s="292"/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>
        <f t="shared" si="0"/>
        <v>0</v>
      </c>
    </row>
    <row r="17" spans="1:17">
      <c r="A17" s="292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>
        <f t="shared" si="0"/>
        <v>0</v>
      </c>
    </row>
    <row r="18" spans="1:17">
      <c r="A18" s="292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>
        <f t="shared" si="0"/>
        <v>0</v>
      </c>
    </row>
    <row r="19" spans="1:17">
      <c r="A19" s="292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>
        <f t="shared" si="0"/>
        <v>0</v>
      </c>
    </row>
    <row r="20" spans="1:17">
      <c r="A20" s="292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>
        <f t="shared" si="0"/>
        <v>0</v>
      </c>
    </row>
    <row r="21" spans="1:17">
      <c r="A21" s="292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>
        <f t="shared" si="0"/>
        <v>0</v>
      </c>
    </row>
    <row r="22" spans="1:17">
      <c r="A22" s="292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>
        <f t="shared" si="0"/>
        <v>0</v>
      </c>
    </row>
    <row r="23" spans="1:17" s="296" customFormat="1">
      <c r="A23" s="294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>
        <f t="shared" si="0"/>
        <v>0</v>
      </c>
    </row>
    <row r="24" spans="1:17">
      <c r="A24" s="292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>
        <f t="shared" ref="Q24:Q59" si="1">SUM(B24:P24)</f>
        <v>0</v>
      </c>
    </row>
    <row r="25" spans="1:17">
      <c r="A25" s="292"/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>
        <f t="shared" si="1"/>
        <v>0</v>
      </c>
    </row>
    <row r="26" spans="1:17">
      <c r="A26" s="292"/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>
        <f t="shared" si="1"/>
        <v>0</v>
      </c>
    </row>
    <row r="27" spans="1:17">
      <c r="A27" s="292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>
        <f t="shared" si="1"/>
        <v>0</v>
      </c>
    </row>
    <row r="28" spans="1:17">
      <c r="A28" s="292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>
        <f t="shared" si="1"/>
        <v>0</v>
      </c>
    </row>
    <row r="29" spans="1:17">
      <c r="A29" s="292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>
        <f t="shared" si="1"/>
        <v>0</v>
      </c>
    </row>
    <row r="30" spans="1:17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>
        <f t="shared" si="1"/>
        <v>0</v>
      </c>
    </row>
    <row r="31" spans="1:17">
      <c r="A31" s="292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>
        <f t="shared" si="1"/>
        <v>0</v>
      </c>
    </row>
    <row r="32" spans="1:17">
      <c r="A32" s="292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>
        <f t="shared" si="1"/>
        <v>0</v>
      </c>
    </row>
    <row r="33" spans="1:17">
      <c r="A33" s="292"/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>
        <f t="shared" si="1"/>
        <v>0</v>
      </c>
    </row>
    <row r="34" spans="1:17">
      <c r="A34" s="292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>
        <f t="shared" si="1"/>
        <v>0</v>
      </c>
    </row>
    <row r="35" spans="1:17">
      <c r="A35" s="292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>
        <f t="shared" si="1"/>
        <v>0</v>
      </c>
    </row>
    <row r="36" spans="1:17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>
        <f t="shared" si="1"/>
        <v>0</v>
      </c>
    </row>
    <row r="37" spans="1:17">
      <c r="A37" s="292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>
        <f t="shared" si="1"/>
        <v>0</v>
      </c>
    </row>
    <row r="38" spans="1:17">
      <c r="A38" s="292"/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>
        <f t="shared" si="1"/>
        <v>0</v>
      </c>
    </row>
    <row r="39" spans="1:17">
      <c r="A39" s="292"/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>
        <f t="shared" si="1"/>
        <v>0</v>
      </c>
    </row>
    <row r="40" spans="1:17">
      <c r="A40" s="292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>
        <f t="shared" si="1"/>
        <v>0</v>
      </c>
    </row>
    <row r="41" spans="1:17">
      <c r="A41" s="292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>
        <f t="shared" si="1"/>
        <v>0</v>
      </c>
    </row>
    <row r="42" spans="1:17">
      <c r="A42" s="292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>
        <f t="shared" si="1"/>
        <v>0</v>
      </c>
    </row>
    <row r="43" spans="1:17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>
        <f t="shared" si="1"/>
        <v>0</v>
      </c>
    </row>
    <row r="44" spans="1:17">
      <c r="A44" s="292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>
        <f t="shared" si="1"/>
        <v>0</v>
      </c>
    </row>
    <row r="45" spans="1:17">
      <c r="A45" s="292"/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>
        <f t="shared" si="1"/>
        <v>0</v>
      </c>
    </row>
    <row r="46" spans="1:17">
      <c r="A46" s="292"/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>
        <f t="shared" si="1"/>
        <v>0</v>
      </c>
    </row>
    <row r="47" spans="1:17">
      <c r="A47" s="292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>
        <f t="shared" si="1"/>
        <v>0</v>
      </c>
    </row>
    <row r="48" spans="1:17">
      <c r="A48" s="292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>
        <f t="shared" si="1"/>
        <v>0</v>
      </c>
    </row>
    <row r="49" spans="1:17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>
        <f t="shared" si="1"/>
        <v>0</v>
      </c>
    </row>
    <row r="50" spans="1:17">
      <c r="A50" s="292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>
        <f t="shared" si="1"/>
        <v>0</v>
      </c>
    </row>
    <row r="51" spans="1:17">
      <c r="A51" s="292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>
        <f t="shared" si="1"/>
        <v>0</v>
      </c>
    </row>
    <row r="52" spans="1:17">
      <c r="A52" s="292"/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>
        <f t="shared" si="1"/>
        <v>0</v>
      </c>
    </row>
    <row r="53" spans="1:17">
      <c r="A53" s="292"/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>
        <f t="shared" si="1"/>
        <v>0</v>
      </c>
    </row>
    <row r="54" spans="1:17">
      <c r="A54" s="292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>
        <f t="shared" si="1"/>
        <v>0</v>
      </c>
    </row>
    <row r="55" spans="1:17">
      <c r="A55" s="292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>
        <f t="shared" si="1"/>
        <v>0</v>
      </c>
    </row>
    <row r="56" spans="1:17">
      <c r="A56" s="292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>
        <f t="shared" si="1"/>
        <v>0</v>
      </c>
    </row>
    <row r="57" spans="1:17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>
        <f t="shared" si="1"/>
        <v>0</v>
      </c>
    </row>
    <row r="58" spans="1:17">
      <c r="A58" s="292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>
        <f t="shared" si="1"/>
        <v>0</v>
      </c>
    </row>
    <row r="59" spans="1:17">
      <c r="A59" s="292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>
        <f t="shared" si="1"/>
        <v>0</v>
      </c>
    </row>
    <row r="60" spans="1:17">
      <c r="A60" s="297" t="s">
        <v>79</v>
      </c>
      <c r="B60" s="298">
        <f>SUM(B12:B59)</f>
        <v>0</v>
      </c>
      <c r="C60" s="298">
        <f>SUM(C12:C59)</f>
        <v>0</v>
      </c>
      <c r="D60" s="298">
        <f t="shared" ref="D60:Q60" si="2">SUM(D12:D59)</f>
        <v>0</v>
      </c>
      <c r="E60" s="298">
        <f t="shared" si="2"/>
        <v>0</v>
      </c>
      <c r="F60" s="298">
        <f t="shared" si="2"/>
        <v>0</v>
      </c>
      <c r="G60" s="298">
        <f t="shared" si="2"/>
        <v>0</v>
      </c>
      <c r="H60" s="298">
        <f t="shared" si="2"/>
        <v>0</v>
      </c>
      <c r="I60" s="298">
        <f t="shared" si="2"/>
        <v>0</v>
      </c>
      <c r="J60" s="298">
        <f t="shared" si="2"/>
        <v>0</v>
      </c>
      <c r="K60" s="298">
        <f t="shared" si="2"/>
        <v>0</v>
      </c>
      <c r="L60" s="298">
        <f t="shared" si="2"/>
        <v>0</v>
      </c>
      <c r="M60" s="298">
        <f t="shared" si="2"/>
        <v>0</v>
      </c>
      <c r="N60" s="298">
        <f t="shared" si="2"/>
        <v>0</v>
      </c>
      <c r="O60" s="298">
        <f t="shared" si="2"/>
        <v>0</v>
      </c>
      <c r="P60" s="298">
        <f t="shared" si="2"/>
        <v>0</v>
      </c>
      <c r="Q60" s="298">
        <f t="shared" si="2"/>
        <v>0</v>
      </c>
    </row>
    <row r="63" spans="1:17" ht="46.5">
      <c r="A63" s="299" t="s">
        <v>80</v>
      </c>
      <c r="B63" s="291" t="s">
        <v>114</v>
      </c>
      <c r="C63" s="291" t="s">
        <v>9</v>
      </c>
      <c r="D63" s="291" t="s">
        <v>7</v>
      </c>
      <c r="E63" s="291" t="s">
        <v>8</v>
      </c>
      <c r="F63" s="291" t="s">
        <v>97</v>
      </c>
      <c r="G63" s="291" t="s">
        <v>115</v>
      </c>
      <c r="H63" s="291" t="s">
        <v>98</v>
      </c>
      <c r="I63" s="291" t="s">
        <v>96</v>
      </c>
      <c r="J63" s="291" t="s">
        <v>116</v>
      </c>
      <c r="K63" s="291" t="s">
        <v>124</v>
      </c>
      <c r="L63" s="291" t="s">
        <v>117</v>
      </c>
      <c r="M63" s="291" t="s">
        <v>132</v>
      </c>
      <c r="N63" s="291" t="s">
        <v>133</v>
      </c>
      <c r="O63" s="291" t="s">
        <v>134</v>
      </c>
      <c r="P63" s="291" t="s">
        <v>118</v>
      </c>
      <c r="Q63" s="291" t="s">
        <v>99</v>
      </c>
    </row>
    <row r="64" spans="1:17">
      <c r="A64" s="300"/>
      <c r="B64" s="301">
        <f t="shared" ref="B64:Q64" si="3">+B60</f>
        <v>0</v>
      </c>
      <c r="C64" s="301">
        <f t="shared" si="3"/>
        <v>0</v>
      </c>
      <c r="D64" s="301">
        <f t="shared" si="3"/>
        <v>0</v>
      </c>
      <c r="E64" s="301">
        <f t="shared" si="3"/>
        <v>0</v>
      </c>
      <c r="F64" s="301">
        <f t="shared" si="3"/>
        <v>0</v>
      </c>
      <c r="G64" s="301">
        <f t="shared" si="3"/>
        <v>0</v>
      </c>
      <c r="H64" s="301">
        <f t="shared" si="3"/>
        <v>0</v>
      </c>
      <c r="I64" s="301">
        <f t="shared" si="3"/>
        <v>0</v>
      </c>
      <c r="J64" s="301">
        <f t="shared" si="3"/>
        <v>0</v>
      </c>
      <c r="K64" s="301">
        <f t="shared" si="3"/>
        <v>0</v>
      </c>
      <c r="L64" s="301">
        <f t="shared" si="3"/>
        <v>0</v>
      </c>
      <c r="M64" s="301">
        <f t="shared" si="3"/>
        <v>0</v>
      </c>
      <c r="N64" s="301">
        <f t="shared" si="3"/>
        <v>0</v>
      </c>
      <c r="O64" s="301">
        <f t="shared" si="3"/>
        <v>0</v>
      </c>
      <c r="P64" s="301">
        <f t="shared" si="3"/>
        <v>0</v>
      </c>
      <c r="Q64" s="301">
        <f t="shared" si="3"/>
        <v>0</v>
      </c>
    </row>
    <row r="65" spans="1:17">
      <c r="B65" s="302"/>
      <c r="C65" s="303"/>
      <c r="D65" s="303"/>
      <c r="H65" s="302"/>
      <c r="I65" s="302"/>
      <c r="J65" s="302"/>
      <c r="K65" s="302"/>
      <c r="L65" s="302"/>
      <c r="M65" s="302"/>
      <c r="N65" s="302"/>
      <c r="O65" s="302"/>
      <c r="P65" s="302"/>
    </row>
    <row r="66" spans="1:17">
      <c r="A66" s="289" t="str">
        <f>+'RECETTES  QUITT '!A20</f>
        <v>Effectuée le 16/05/2024</v>
      </c>
      <c r="B66" s="289"/>
      <c r="C66" s="289"/>
      <c r="D66" s="304"/>
      <c r="H66" s="289"/>
      <c r="I66" s="289"/>
      <c r="J66" s="289"/>
      <c r="K66" s="289"/>
      <c r="L66" s="289"/>
      <c r="M66" s="289"/>
      <c r="N66" s="289"/>
      <c r="O66" s="289"/>
      <c r="P66" s="289"/>
      <c r="Q66" s="290"/>
    </row>
    <row r="67" spans="1:17">
      <c r="A67" s="8" t="s">
        <v>63</v>
      </c>
      <c r="Q67" s="290"/>
    </row>
    <row r="73" spans="1:17">
      <c r="G73" s="289"/>
    </row>
  </sheetData>
  <autoFilter ref="A11:Q60"/>
  <mergeCells count="1">
    <mergeCell ref="A9:Q9"/>
  </mergeCells>
  <phoneticPr fontId="48" type="noConversion"/>
  <pageMargins left="0.35" right="0.7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17" zoomScaleNormal="100" workbookViewId="0">
      <selection activeCell="A29" sqref="A29"/>
    </sheetView>
  </sheetViews>
  <sheetFormatPr baseColWidth="10" defaultColWidth="11.453125" defaultRowHeight="14.5"/>
  <cols>
    <col min="1" max="1" width="14.26953125" style="4" customWidth="1"/>
    <col min="2" max="2" width="18.54296875" style="4" customWidth="1"/>
    <col min="3" max="3" width="18.26953125" style="4" customWidth="1"/>
    <col min="4" max="4" width="16.81640625" style="4" customWidth="1"/>
    <col min="5" max="5" width="19.7265625" style="4" customWidth="1"/>
    <col min="6" max="6" width="19.54296875" style="4" customWidth="1"/>
    <col min="7" max="7" width="20.54296875" style="4" customWidth="1"/>
    <col min="8" max="8" width="11.453125" style="4"/>
    <col min="9" max="9" width="23.81640625" style="4" bestFit="1" customWidth="1"/>
    <col min="10" max="10" width="12.81640625" style="4" bestFit="1" customWidth="1"/>
    <col min="11" max="11" width="12.453125" style="4" customWidth="1"/>
    <col min="12" max="12" width="9.7265625" style="4" customWidth="1"/>
    <col min="13" max="16384" width="11.453125" style="4"/>
  </cols>
  <sheetData>
    <row r="1" spans="1:9" ht="20.5">
      <c r="A1" s="361" t="s">
        <v>0</v>
      </c>
      <c r="B1" s="361"/>
      <c r="C1" s="361"/>
      <c r="D1" s="217"/>
      <c r="E1" s="363" t="s">
        <v>26</v>
      </c>
      <c r="F1" s="363"/>
      <c r="G1" s="363"/>
    </row>
    <row r="2" spans="1:9" ht="20.5">
      <c r="A2" s="20" t="s">
        <v>49</v>
      </c>
      <c r="B2" s="20"/>
      <c r="C2" s="10"/>
      <c r="D2" s="10"/>
      <c r="E2" s="10"/>
      <c r="F2" s="10"/>
      <c r="G2"/>
    </row>
    <row r="3" spans="1:9" ht="20.5">
      <c r="A3" s="20" t="s">
        <v>1</v>
      </c>
      <c r="B3" s="20"/>
      <c r="C3" s="10"/>
      <c r="D3" s="10"/>
      <c r="E3" s="10"/>
      <c r="F3" s="10"/>
      <c r="G3"/>
    </row>
    <row r="4" spans="1:9" ht="20.5">
      <c r="A4" s="20" t="s">
        <v>2</v>
      </c>
      <c r="B4" s="20"/>
      <c r="C4" s="10"/>
      <c r="D4" s="10"/>
      <c r="E4" s="10"/>
      <c r="F4" s="10"/>
      <c r="G4"/>
    </row>
    <row r="6" spans="1:9" s="308" customFormat="1" ht="15.5">
      <c r="A6" s="308" t="s">
        <v>270</v>
      </c>
      <c r="B6" s="309"/>
      <c r="C6" s="309"/>
      <c r="D6" s="309"/>
      <c r="E6" s="310"/>
      <c r="F6" s="310"/>
    </row>
    <row r="7" spans="1:9">
      <c r="A7" s="92"/>
      <c r="B7" s="92"/>
      <c r="C7" s="92"/>
      <c r="D7" s="92"/>
      <c r="E7" s="92"/>
      <c r="F7" s="92"/>
    </row>
    <row r="8" spans="1:9">
      <c r="A8" s="92"/>
      <c r="B8" s="92"/>
      <c r="C8" s="92"/>
      <c r="D8" s="92"/>
      <c r="E8" s="92"/>
      <c r="F8" s="92"/>
    </row>
    <row r="9" spans="1:9" ht="41.25" customHeight="1">
      <c r="A9" s="362" t="s">
        <v>38</v>
      </c>
      <c r="B9" s="362"/>
      <c r="C9" s="362"/>
      <c r="D9" s="362"/>
      <c r="E9" s="362"/>
      <c r="F9" s="362"/>
      <c r="G9" s="362"/>
    </row>
    <row r="10" spans="1:9" ht="23.5">
      <c r="A10" s="360" t="s">
        <v>257</v>
      </c>
      <c r="B10" s="360"/>
      <c r="C10" s="360"/>
      <c r="D10" s="360"/>
      <c r="E10" s="360"/>
      <c r="F10" s="360"/>
      <c r="G10" s="360"/>
    </row>
    <row r="11" spans="1:9" ht="24" thickBot="1">
      <c r="A11" s="37"/>
      <c r="B11" s="37"/>
      <c r="C11" s="37"/>
      <c r="D11" s="37"/>
      <c r="E11" s="37"/>
      <c r="F11" s="37"/>
      <c r="G11" s="37"/>
    </row>
    <row r="12" spans="1:9" ht="47.25" customHeight="1" thickBot="1">
      <c r="A12" s="35"/>
      <c r="B12" s="93" t="s">
        <v>7</v>
      </c>
      <c r="C12" s="93" t="s">
        <v>8</v>
      </c>
      <c r="D12" s="93" t="s">
        <v>9</v>
      </c>
      <c r="E12" s="93" t="s">
        <v>64</v>
      </c>
      <c r="F12" s="93" t="s">
        <v>13</v>
      </c>
      <c r="G12" s="93" t="s">
        <v>84</v>
      </c>
    </row>
    <row r="13" spans="1:9" s="91" customFormat="1" ht="39.5" thickBot="1">
      <c r="A13" s="257" t="s">
        <v>136</v>
      </c>
      <c r="B13" s="197">
        <f>+'DEP ADEL BAGROU'!G48</f>
        <v>0</v>
      </c>
      <c r="C13" s="197">
        <f>+'DEP ADEL BAGROU'!H48</f>
        <v>38400</v>
      </c>
      <c r="D13" s="197">
        <f>+'DEP ADEL BAGROU'!I48</f>
        <v>0</v>
      </c>
      <c r="E13" s="197">
        <f>+'DEP ADEL BAGROU'!J48</f>
        <v>1080</v>
      </c>
      <c r="F13" s="197">
        <f>+'DEP ADEL BAGROU'!K48</f>
        <v>270</v>
      </c>
      <c r="G13" s="198">
        <f>SUM(B13:F13)</f>
        <v>39750</v>
      </c>
      <c r="I13" s="211"/>
    </row>
    <row r="14" spans="1:9" s="91" customFormat="1" ht="39.5" thickBot="1">
      <c r="A14" s="257" t="s">
        <v>133</v>
      </c>
      <c r="B14" s="197">
        <f>+'DEP El MASGOULE'!G23</f>
        <v>0</v>
      </c>
      <c r="C14" s="197">
        <f>+'DEP El MASGOULE'!H23</f>
        <v>0</v>
      </c>
      <c r="D14" s="197">
        <f>+'DEP El MASGOULE'!I23</f>
        <v>0</v>
      </c>
      <c r="E14" s="197">
        <f>+'DEP El MASGOULE'!J23</f>
        <v>0</v>
      </c>
      <c r="F14" s="197">
        <f>+'DEP El MASGOULE'!K23</f>
        <v>0</v>
      </c>
      <c r="G14" s="198">
        <f>SUM(B14:F14)</f>
        <v>0</v>
      </c>
      <c r="I14" s="211"/>
    </row>
    <row r="15" spans="1:9" s="91" customFormat="1" ht="29" thickBot="1">
      <c r="A15" s="257" t="s">
        <v>137</v>
      </c>
      <c r="B15" s="197">
        <f>+'DEP SEIVANE'!G23</f>
        <v>0</v>
      </c>
      <c r="C15" s="197">
        <f>+'DEP SEIVANE'!H23</f>
        <v>0</v>
      </c>
      <c r="D15" s="197">
        <f>+'DEP SEIVANE'!I23</f>
        <v>0</v>
      </c>
      <c r="E15" s="197">
        <f>+'DEP SEIVANE'!J23</f>
        <v>0</v>
      </c>
      <c r="F15" s="197">
        <f>+'DEP SEIVANE'!K23</f>
        <v>0</v>
      </c>
      <c r="G15" s="198">
        <f t="shared" ref="G15" si="0">SUM(B15:F15)</f>
        <v>0</v>
      </c>
      <c r="I15" s="211"/>
    </row>
    <row r="16" spans="1:9" s="15" customFormat="1" ht="46.5" customHeight="1" thickBot="1">
      <c r="A16" s="69" t="s">
        <v>39</v>
      </c>
      <c r="B16" s="70">
        <f t="shared" ref="B16:G16" si="1">SUM(B13:B15)</f>
        <v>0</v>
      </c>
      <c r="C16" s="70">
        <f t="shared" si="1"/>
        <v>38400</v>
      </c>
      <c r="D16" s="70">
        <f t="shared" si="1"/>
        <v>0</v>
      </c>
      <c r="E16" s="70">
        <f>SUM(E13:E15)</f>
        <v>1080</v>
      </c>
      <c r="F16" s="70">
        <f t="shared" si="1"/>
        <v>270</v>
      </c>
      <c r="G16" s="70">
        <f t="shared" si="1"/>
        <v>39750</v>
      </c>
      <c r="I16" s="278"/>
    </row>
    <row r="18" spans="1:11" ht="21">
      <c r="A18" s="22"/>
      <c r="B18" s="22"/>
      <c r="C18" s="22"/>
      <c r="D18" s="22"/>
      <c r="E18" s="22"/>
      <c r="F18" s="199"/>
      <c r="G18" s="199"/>
      <c r="K18" s="9"/>
    </row>
    <row r="19" spans="1:11" ht="33.75" customHeight="1">
      <c r="A19" s="364" t="s">
        <v>249</v>
      </c>
      <c r="B19" s="208" t="s">
        <v>7</v>
      </c>
      <c r="C19" s="208" t="s">
        <v>8</v>
      </c>
      <c r="D19" s="208" t="s">
        <v>78</v>
      </c>
      <c r="E19" s="208" t="s">
        <v>64</v>
      </c>
      <c r="F19" s="208" t="s">
        <v>13</v>
      </c>
      <c r="G19" s="208" t="s">
        <v>41</v>
      </c>
      <c r="J19" s="14"/>
      <c r="K19" s="9"/>
    </row>
    <row r="20" spans="1:11" ht="33.75" customHeight="1">
      <c r="A20" s="365"/>
      <c r="B20" s="209">
        <f>+'DEPUILLEMENT '!D64</f>
        <v>0</v>
      </c>
      <c r="C20" s="209">
        <f>+'DEPUILLEMENT '!E64</f>
        <v>0</v>
      </c>
      <c r="D20" s="209">
        <f>+'DEPUILLEMENT '!C64</f>
        <v>0</v>
      </c>
      <c r="E20" s="209">
        <f>+'DEPUILLEMENT '!F64</f>
        <v>0</v>
      </c>
      <c r="F20" s="209">
        <f>+'DEPUILLEMENT '!G64</f>
        <v>0</v>
      </c>
      <c r="G20" s="209">
        <f>SUM(B20:F20)</f>
        <v>0</v>
      </c>
    </row>
    <row r="21" spans="1:11">
      <c r="A21" s="5"/>
      <c r="B21" s="207"/>
      <c r="C21" s="207"/>
      <c r="D21" s="207"/>
      <c r="E21" s="207"/>
      <c r="F21" s="207"/>
      <c r="K21" s="14"/>
    </row>
    <row r="22" spans="1:11" ht="21">
      <c r="A22" s="358" t="s">
        <v>168</v>
      </c>
      <c r="B22" s="358"/>
      <c r="C22" s="358"/>
      <c r="D22" s="207"/>
      <c r="E22" s="207"/>
      <c r="F22" s="199"/>
      <c r="G22" s="199">
        <v>9720</v>
      </c>
      <c r="J22" s="14"/>
    </row>
    <row r="23" spans="1:11" ht="21">
      <c r="A23" s="358" t="s">
        <v>169</v>
      </c>
      <c r="B23" s="358"/>
      <c r="C23" s="358"/>
      <c r="D23" s="207"/>
      <c r="E23" s="207"/>
      <c r="F23" s="199"/>
      <c r="G23" s="199">
        <f>+G16-G20+G22</f>
        <v>49470</v>
      </c>
    </row>
    <row r="24" spans="1:11" ht="21">
      <c r="A24" s="22"/>
      <c r="B24" s="207"/>
      <c r="C24" s="207"/>
      <c r="D24" s="207"/>
      <c r="E24" s="207"/>
      <c r="F24" s="199"/>
      <c r="G24" s="199"/>
    </row>
    <row r="25" spans="1:11" ht="23.25" customHeight="1">
      <c r="A25" s="5"/>
      <c r="B25" s="207"/>
      <c r="C25" s="207"/>
      <c r="D25" s="207"/>
      <c r="E25" s="207"/>
      <c r="F25" s="207"/>
    </row>
    <row r="26" spans="1:11" ht="18.5">
      <c r="A26" s="11" t="str">
        <f>+'RECETTES  QUITT '!A20</f>
        <v>Effectuée le 16/05/2024</v>
      </c>
      <c r="B26" s="11"/>
      <c r="C26" s="14"/>
      <c r="D26" s="14"/>
      <c r="E26" s="14"/>
      <c r="F26" s="14"/>
    </row>
    <row r="28" spans="1:11" ht="23.5">
      <c r="A28" s="18" t="str">
        <f>'P V '!A44:D44</f>
        <v>Les Missionnaires</v>
      </c>
      <c r="B28" s="11"/>
      <c r="C28" s="11"/>
      <c r="D28" s="11"/>
      <c r="E28" s="18"/>
      <c r="F28" s="359" t="s">
        <v>83</v>
      </c>
      <c r="G28" s="359"/>
    </row>
  </sheetData>
  <mergeCells count="8">
    <mergeCell ref="A22:C22"/>
    <mergeCell ref="F28:G28"/>
    <mergeCell ref="A10:G10"/>
    <mergeCell ref="A1:C1"/>
    <mergeCell ref="A9:G9"/>
    <mergeCell ref="E1:G1"/>
    <mergeCell ref="A19:A20"/>
    <mergeCell ref="A23:C23"/>
  </mergeCells>
  <pageMargins left="0.36" right="0.2" top="0.75" bottom="0.75" header="0.3" footer="0.3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4"/>
  <sheetViews>
    <sheetView workbookViewId="0">
      <selection activeCell="D2" sqref="D2"/>
    </sheetView>
  </sheetViews>
  <sheetFormatPr baseColWidth="10" defaultColWidth="11.453125" defaultRowHeight="20.5"/>
  <cols>
    <col min="1" max="1" width="6.81640625" style="132" customWidth="1"/>
    <col min="2" max="2" width="14.26953125" style="132" customWidth="1"/>
    <col min="3" max="3" width="21.1796875" style="132" customWidth="1"/>
    <col min="4" max="4" width="20.81640625" style="132" customWidth="1"/>
    <col min="5" max="5" width="16.453125" style="132" bestFit="1" customWidth="1"/>
    <col min="6" max="6" width="23.54296875" style="132" bestFit="1" customWidth="1"/>
    <col min="7" max="16384" width="11.453125" style="132"/>
  </cols>
  <sheetData>
    <row r="1" spans="1:4" ht="44.25" customHeight="1" thickBot="1">
      <c r="A1" s="67" t="s">
        <v>74</v>
      </c>
      <c r="B1" s="67" t="s">
        <v>92</v>
      </c>
      <c r="C1" s="67" t="s">
        <v>71</v>
      </c>
      <c r="D1" s="68" t="s">
        <v>10</v>
      </c>
    </row>
    <row r="2" spans="1:4" ht="21.5" thickBot="1">
      <c r="A2" s="50">
        <v>49</v>
      </c>
      <c r="B2" s="50" t="s">
        <v>148</v>
      </c>
      <c r="C2" s="54" t="s">
        <v>64</v>
      </c>
      <c r="D2" s="55">
        <v>450</v>
      </c>
    </row>
    <row r="3" spans="1:4" ht="21.5" thickBot="1">
      <c r="A3" s="50">
        <v>52</v>
      </c>
      <c r="B3" s="50" t="s">
        <v>148</v>
      </c>
      <c r="C3" s="54" t="s">
        <v>64</v>
      </c>
      <c r="D3" s="55">
        <v>450</v>
      </c>
    </row>
    <row r="4" spans="1:4" ht="21.5" thickBot="1">
      <c r="A4" s="50">
        <v>55</v>
      </c>
      <c r="B4" s="50" t="s">
        <v>148</v>
      </c>
      <c r="C4" s="54" t="s">
        <v>64</v>
      </c>
      <c r="D4" s="55">
        <v>450</v>
      </c>
    </row>
    <row r="5" spans="1:4" ht="21.5" thickBot="1">
      <c r="A5" s="50">
        <v>83</v>
      </c>
      <c r="B5" s="50" t="s">
        <v>148</v>
      </c>
      <c r="C5" s="54" t="s">
        <v>64</v>
      </c>
      <c r="D5" s="55">
        <v>450</v>
      </c>
    </row>
    <row r="6" spans="1:4" ht="21.5" thickBot="1">
      <c r="A6" s="50">
        <v>86</v>
      </c>
      <c r="B6" s="50" t="s">
        <v>148</v>
      </c>
      <c r="C6" s="54" t="s">
        <v>64</v>
      </c>
      <c r="D6" s="55">
        <v>450</v>
      </c>
    </row>
    <row r="7" spans="1:4" ht="21.5" thickBot="1">
      <c r="A7" s="50">
        <v>89</v>
      </c>
      <c r="B7" s="50" t="s">
        <v>148</v>
      </c>
      <c r="C7" s="54" t="s">
        <v>64</v>
      </c>
      <c r="D7" s="55">
        <v>450</v>
      </c>
    </row>
    <row r="8" spans="1:4" ht="21.5" thickBot="1">
      <c r="A8" s="50">
        <v>48</v>
      </c>
      <c r="B8" s="50" t="s">
        <v>147</v>
      </c>
      <c r="C8" s="54" t="s">
        <v>13</v>
      </c>
      <c r="D8" s="55">
        <v>1170</v>
      </c>
    </row>
    <row r="9" spans="1:4" ht="21.5" thickBot="1">
      <c r="A9" s="50">
        <v>51</v>
      </c>
      <c r="B9" s="50" t="s">
        <v>147</v>
      </c>
      <c r="C9" s="54" t="s">
        <v>13</v>
      </c>
      <c r="D9" s="55">
        <v>1170</v>
      </c>
    </row>
    <row r="10" spans="1:4" ht="21.5" thickBot="1">
      <c r="A10" s="50">
        <v>54</v>
      </c>
      <c r="B10" s="50" t="s">
        <v>147</v>
      </c>
      <c r="C10" s="54" t="s">
        <v>13</v>
      </c>
      <c r="D10" s="55">
        <v>1170</v>
      </c>
    </row>
    <row r="11" spans="1:4" ht="21.5" thickBot="1">
      <c r="A11" s="50">
        <v>82</v>
      </c>
      <c r="B11" s="50" t="s">
        <v>147</v>
      </c>
      <c r="C11" s="54" t="s">
        <v>13</v>
      </c>
      <c r="D11" s="55">
        <v>1170</v>
      </c>
    </row>
    <row r="12" spans="1:4" ht="21.5" thickBot="1">
      <c r="A12" s="50">
        <v>85</v>
      </c>
      <c r="B12" s="50" t="s">
        <v>147</v>
      </c>
      <c r="C12" s="54" t="s">
        <v>13</v>
      </c>
      <c r="D12" s="55">
        <v>1170</v>
      </c>
    </row>
    <row r="13" spans="1:4" ht="21.5" thickBot="1">
      <c r="A13" s="50">
        <v>88</v>
      </c>
      <c r="B13" s="50" t="s">
        <v>147</v>
      </c>
      <c r="C13" s="54" t="s">
        <v>13</v>
      </c>
      <c r="D13" s="55">
        <v>1170</v>
      </c>
    </row>
    <row r="14" spans="1:4">
      <c r="D14" s="147">
        <f>SUM(D2:D13)</f>
        <v>9720</v>
      </c>
    </row>
  </sheetData>
  <autoFilter ref="A1:D13">
    <sortState ref="A2:D14">
      <sortCondition ref="D1:D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23"/>
  <sheetViews>
    <sheetView workbookViewId="0">
      <selection activeCell="F66" sqref="F66:F67"/>
    </sheetView>
  </sheetViews>
  <sheetFormatPr baseColWidth="10" defaultColWidth="11.453125" defaultRowHeight="20.5"/>
  <cols>
    <col min="1" max="1" width="16" style="132" customWidth="1"/>
    <col min="2" max="2" width="8.453125" style="132" bestFit="1" customWidth="1"/>
    <col min="3" max="3" width="14.26953125" style="132" customWidth="1"/>
    <col min="4" max="4" width="21.1796875" style="132" customWidth="1"/>
    <col min="5" max="5" width="20.81640625" style="132" customWidth="1"/>
    <col min="6" max="6" width="21.7265625" style="132" bestFit="1" customWidth="1"/>
    <col min="7" max="7" width="24.26953125" style="132" customWidth="1"/>
    <col min="8" max="8" width="24.26953125" style="274" customWidth="1"/>
    <col min="9" max="9" width="11.453125" style="132"/>
    <col min="10" max="10" width="16.81640625" style="132" bestFit="1" customWidth="1"/>
    <col min="11" max="11" width="23.54296875" style="132" bestFit="1" customWidth="1"/>
    <col min="12" max="16384" width="11.453125" style="132"/>
  </cols>
  <sheetData>
    <row r="1" spans="1:8" ht="44.25" customHeight="1" thickBot="1">
      <c r="A1" s="67"/>
      <c r="B1" s="67" t="s">
        <v>74</v>
      </c>
      <c r="C1" s="67" t="s">
        <v>92</v>
      </c>
      <c r="D1" s="67" t="s">
        <v>71</v>
      </c>
      <c r="E1" s="68" t="s">
        <v>10</v>
      </c>
      <c r="F1" s="68" t="s">
        <v>93</v>
      </c>
      <c r="G1" s="143" t="s">
        <v>55</v>
      </c>
      <c r="H1" s="282"/>
    </row>
    <row r="2" spans="1:8" ht="21.5" thickBot="1">
      <c r="A2" s="50" t="s">
        <v>248</v>
      </c>
      <c r="B2" s="169">
        <v>1834</v>
      </c>
      <c r="C2" s="169">
        <v>12304</v>
      </c>
      <c r="D2" s="191" t="s">
        <v>211</v>
      </c>
      <c r="E2" s="191" t="s">
        <v>215</v>
      </c>
      <c r="F2" s="281">
        <v>15000</v>
      </c>
      <c r="G2" s="56" t="s">
        <v>225</v>
      </c>
      <c r="H2" s="280"/>
    </row>
    <row r="3" spans="1:8" ht="21.5" thickBot="1">
      <c r="A3" s="50" t="s">
        <v>253</v>
      </c>
      <c r="B3" s="50">
        <v>44</v>
      </c>
      <c r="C3" s="50" t="s">
        <v>145</v>
      </c>
      <c r="D3" s="54" t="s">
        <v>173</v>
      </c>
      <c r="E3" s="55">
        <v>175000</v>
      </c>
      <c r="F3" s="281">
        <v>175000</v>
      </c>
      <c r="G3" s="34" t="s">
        <v>180</v>
      </c>
      <c r="H3" s="280"/>
    </row>
    <row r="4" spans="1:8" ht="21.5" thickBot="1">
      <c r="A4" s="50" t="s">
        <v>253</v>
      </c>
      <c r="B4" s="50">
        <v>60</v>
      </c>
      <c r="C4" s="50" t="s">
        <v>152</v>
      </c>
      <c r="D4" s="54" t="s">
        <v>15</v>
      </c>
      <c r="E4" s="55">
        <v>19500</v>
      </c>
      <c r="F4" s="281">
        <v>19500</v>
      </c>
      <c r="G4" s="34" t="s">
        <v>186</v>
      </c>
      <c r="H4" s="280"/>
    </row>
    <row r="5" spans="1:8" ht="21.5" thickBot="1">
      <c r="A5" s="50" t="s">
        <v>253</v>
      </c>
      <c r="B5" s="50">
        <v>62</v>
      </c>
      <c r="C5" s="50" t="s">
        <v>154</v>
      </c>
      <c r="D5" s="54" t="s">
        <v>15</v>
      </c>
      <c r="E5" s="55">
        <v>52500</v>
      </c>
      <c r="F5" s="281">
        <v>52500</v>
      </c>
      <c r="G5" s="34" t="s">
        <v>186</v>
      </c>
      <c r="H5" s="280"/>
    </row>
    <row r="6" spans="1:8" ht="21.5" thickBot="1">
      <c r="A6" s="50" t="s">
        <v>253</v>
      </c>
      <c r="B6" s="50">
        <v>63</v>
      </c>
      <c r="C6" s="50" t="s">
        <v>155</v>
      </c>
      <c r="D6" s="54" t="s">
        <v>15</v>
      </c>
      <c r="E6" s="55">
        <v>15960</v>
      </c>
      <c r="F6" s="281">
        <v>15960</v>
      </c>
      <c r="G6" s="34" t="s">
        <v>186</v>
      </c>
      <c r="H6" s="280"/>
    </row>
    <row r="7" spans="1:8" ht="21.5" thickBot="1">
      <c r="A7" s="50" t="s">
        <v>205</v>
      </c>
      <c r="B7" s="50">
        <v>5</v>
      </c>
      <c r="C7" s="50" t="s">
        <v>156</v>
      </c>
      <c r="D7" s="54" t="s">
        <v>175</v>
      </c>
      <c r="E7" s="55">
        <v>16000</v>
      </c>
      <c r="F7" s="281">
        <v>16000</v>
      </c>
      <c r="G7" s="34" t="s">
        <v>201</v>
      </c>
      <c r="H7" s="280"/>
    </row>
    <row r="8" spans="1:8" ht="21.5" thickBot="1">
      <c r="A8" s="50" t="s">
        <v>205</v>
      </c>
      <c r="B8" s="50">
        <v>6</v>
      </c>
      <c r="C8" s="50" t="s">
        <v>149</v>
      </c>
      <c r="D8" s="54" t="s">
        <v>175</v>
      </c>
      <c r="E8" s="55">
        <v>6000</v>
      </c>
      <c r="F8" s="281">
        <v>6000</v>
      </c>
      <c r="G8" s="34" t="s">
        <v>201</v>
      </c>
      <c r="H8" s="280"/>
    </row>
    <row r="9" spans="1:8" ht="21.5" thickBot="1">
      <c r="A9" s="50" t="s">
        <v>252</v>
      </c>
      <c r="B9" s="50">
        <v>2</v>
      </c>
      <c r="C9" s="50" t="s">
        <v>149</v>
      </c>
      <c r="D9" s="54" t="s">
        <v>175</v>
      </c>
      <c r="E9" s="55">
        <v>6000</v>
      </c>
      <c r="F9" s="281">
        <v>6000</v>
      </c>
      <c r="G9" s="34" t="s">
        <v>195</v>
      </c>
      <c r="H9" s="280"/>
    </row>
    <row r="10" spans="1:8" ht="21.5" thickBot="1">
      <c r="A10" s="50" t="s">
        <v>252</v>
      </c>
      <c r="B10" s="50">
        <v>10</v>
      </c>
      <c r="C10" s="50" t="s">
        <v>156</v>
      </c>
      <c r="D10" s="54" t="s">
        <v>175</v>
      </c>
      <c r="E10" s="55">
        <v>16000</v>
      </c>
      <c r="F10" s="281">
        <v>16000</v>
      </c>
      <c r="G10" s="34" t="s">
        <v>195</v>
      </c>
      <c r="H10" s="280"/>
    </row>
    <row r="11" spans="1:8" ht="21.5" thickBot="1">
      <c r="A11" s="50" t="s">
        <v>253</v>
      </c>
      <c r="B11" s="50">
        <v>67</v>
      </c>
      <c r="C11" s="50" t="s">
        <v>145</v>
      </c>
      <c r="D11" s="54" t="s">
        <v>173</v>
      </c>
      <c r="E11" s="55">
        <v>175000</v>
      </c>
      <c r="F11" s="281">
        <v>175000</v>
      </c>
      <c r="G11" s="34" t="s">
        <v>189</v>
      </c>
      <c r="H11" s="280"/>
    </row>
    <row r="12" spans="1:8" ht="21.5" thickBot="1">
      <c r="A12" s="50" t="s">
        <v>253</v>
      </c>
      <c r="B12" s="50">
        <v>75</v>
      </c>
      <c r="C12" s="50" t="s">
        <v>153</v>
      </c>
      <c r="D12" s="54" t="s">
        <v>176</v>
      </c>
      <c r="E12" s="55">
        <v>23400</v>
      </c>
      <c r="F12" s="281">
        <v>23400</v>
      </c>
      <c r="G12" s="34" t="s">
        <v>242</v>
      </c>
      <c r="H12" s="280"/>
    </row>
    <row r="13" spans="1:8" ht="42.5" thickBot="1">
      <c r="A13" s="50" t="s">
        <v>253</v>
      </c>
      <c r="B13" s="50">
        <v>79</v>
      </c>
      <c r="C13" s="50" t="s">
        <v>150</v>
      </c>
      <c r="D13" s="54" t="s">
        <v>245</v>
      </c>
      <c r="E13" s="55">
        <v>9000</v>
      </c>
      <c r="F13" s="281">
        <v>9000</v>
      </c>
      <c r="G13" s="34" t="s">
        <v>242</v>
      </c>
      <c r="H13" s="280"/>
    </row>
    <row r="14" spans="1:8" ht="21.5" thickBot="1">
      <c r="A14" s="50" t="s">
        <v>253</v>
      </c>
      <c r="B14" s="50">
        <v>80</v>
      </c>
      <c r="C14" s="50" t="s">
        <v>246</v>
      </c>
      <c r="D14" s="54" t="s">
        <v>185</v>
      </c>
      <c r="E14" s="55">
        <v>39000</v>
      </c>
      <c r="F14" s="281">
        <v>37830</v>
      </c>
      <c r="G14" s="34" t="s">
        <v>242</v>
      </c>
      <c r="H14" s="280"/>
    </row>
    <row r="15" spans="1:8" ht="21.5" thickBot="1">
      <c r="A15" s="50" t="s">
        <v>253</v>
      </c>
      <c r="B15" s="50">
        <v>81</v>
      </c>
      <c r="C15" s="50" t="s">
        <v>146</v>
      </c>
      <c r="D15" s="54" t="s">
        <v>174</v>
      </c>
      <c r="E15" s="55">
        <v>9000</v>
      </c>
      <c r="F15" s="281">
        <v>8550</v>
      </c>
      <c r="G15" s="34" t="s">
        <v>242</v>
      </c>
      <c r="H15" s="280"/>
    </row>
    <row r="16" spans="1:8" ht="21.5" thickBot="1">
      <c r="A16" s="50" t="s">
        <v>253</v>
      </c>
      <c r="B16" s="50">
        <v>82</v>
      </c>
      <c r="C16" s="50" t="s">
        <v>147</v>
      </c>
      <c r="D16" s="54" t="s">
        <v>13</v>
      </c>
      <c r="E16" s="55">
        <v>1170</v>
      </c>
      <c r="F16" s="281">
        <v>1170</v>
      </c>
      <c r="G16" s="34" t="s">
        <v>242</v>
      </c>
      <c r="H16" s="280"/>
    </row>
    <row r="17" spans="1:8" ht="21.5" thickBot="1">
      <c r="A17" s="50" t="s">
        <v>253</v>
      </c>
      <c r="B17" s="50">
        <v>83</v>
      </c>
      <c r="C17" s="50" t="s">
        <v>148</v>
      </c>
      <c r="D17" s="54" t="s">
        <v>64</v>
      </c>
      <c r="E17" s="55">
        <v>450</v>
      </c>
      <c r="F17" s="281">
        <v>450</v>
      </c>
      <c r="G17" s="34" t="s">
        <v>242</v>
      </c>
      <c r="H17" s="280"/>
    </row>
    <row r="18" spans="1:8" ht="21.5" thickBot="1">
      <c r="A18" s="50" t="s">
        <v>253</v>
      </c>
      <c r="B18" s="50">
        <v>84</v>
      </c>
      <c r="C18" s="50" t="s">
        <v>146</v>
      </c>
      <c r="D18" s="54" t="s">
        <v>174</v>
      </c>
      <c r="E18" s="55">
        <v>9000</v>
      </c>
      <c r="F18" s="281">
        <v>8550</v>
      </c>
      <c r="G18" s="34" t="s">
        <v>242</v>
      </c>
      <c r="H18" s="280"/>
    </row>
    <row r="19" spans="1:8" ht="21.5" thickBot="1">
      <c r="A19" s="50" t="s">
        <v>253</v>
      </c>
      <c r="B19" s="50">
        <v>85</v>
      </c>
      <c r="C19" s="50" t="s">
        <v>147</v>
      </c>
      <c r="D19" s="54" t="s">
        <v>13</v>
      </c>
      <c r="E19" s="55">
        <v>1170</v>
      </c>
      <c r="F19" s="281">
        <v>1170</v>
      </c>
      <c r="G19" s="34" t="s">
        <v>242</v>
      </c>
      <c r="H19" s="280"/>
    </row>
    <row r="20" spans="1:8" ht="21.5" thickBot="1">
      <c r="A20" s="50" t="s">
        <v>253</v>
      </c>
      <c r="B20" s="50">
        <v>86</v>
      </c>
      <c r="C20" s="50" t="s">
        <v>148</v>
      </c>
      <c r="D20" s="54" t="s">
        <v>64</v>
      </c>
      <c r="E20" s="55">
        <v>450</v>
      </c>
      <c r="F20" s="281">
        <v>450</v>
      </c>
      <c r="G20" s="34" t="s">
        <v>242</v>
      </c>
      <c r="H20" s="280"/>
    </row>
    <row r="21" spans="1:8" ht="21.5" thickBot="1">
      <c r="A21" s="50" t="s">
        <v>253</v>
      </c>
      <c r="B21" s="50">
        <v>87</v>
      </c>
      <c r="C21" s="50" t="s">
        <v>146</v>
      </c>
      <c r="D21" s="54" t="s">
        <v>174</v>
      </c>
      <c r="E21" s="55">
        <v>9000</v>
      </c>
      <c r="F21" s="281">
        <v>8550</v>
      </c>
      <c r="G21" s="34" t="s">
        <v>242</v>
      </c>
      <c r="H21" s="280"/>
    </row>
    <row r="22" spans="1:8" ht="21.5" thickBot="1">
      <c r="A22" s="50" t="s">
        <v>253</v>
      </c>
      <c r="B22" s="50">
        <v>88</v>
      </c>
      <c r="C22" s="50" t="s">
        <v>147</v>
      </c>
      <c r="D22" s="54" t="s">
        <v>13</v>
      </c>
      <c r="E22" s="55">
        <v>1170</v>
      </c>
      <c r="F22" s="281">
        <v>1170</v>
      </c>
      <c r="G22" s="34" t="s">
        <v>242</v>
      </c>
      <c r="H22" s="280"/>
    </row>
    <row r="23" spans="1:8" ht="21.5" thickBot="1">
      <c r="A23" s="50" t="s">
        <v>253</v>
      </c>
      <c r="B23" s="50">
        <v>89</v>
      </c>
      <c r="C23" s="50" t="s">
        <v>148</v>
      </c>
      <c r="D23" s="54" t="s">
        <v>64</v>
      </c>
      <c r="E23" s="55">
        <v>450</v>
      </c>
      <c r="F23" s="281">
        <v>450</v>
      </c>
      <c r="G23" s="34" t="s">
        <v>242</v>
      </c>
      <c r="H23" s="280"/>
    </row>
    <row r="24" spans="1:8" ht="21.5" thickBot="1">
      <c r="A24" s="50" t="s">
        <v>253</v>
      </c>
      <c r="B24" s="50">
        <v>90</v>
      </c>
      <c r="C24" s="50" t="s">
        <v>145</v>
      </c>
      <c r="D24" s="54" t="s">
        <v>173</v>
      </c>
      <c r="E24" s="55">
        <v>36000</v>
      </c>
      <c r="F24" s="281">
        <v>36000</v>
      </c>
      <c r="G24" s="34" t="s">
        <v>242</v>
      </c>
      <c r="H24" s="280"/>
    </row>
    <row r="25" spans="1:8" ht="21.5" thickBot="1">
      <c r="A25" s="50" t="s">
        <v>253</v>
      </c>
      <c r="B25" s="50">
        <v>91</v>
      </c>
      <c r="C25" s="50" t="s">
        <v>149</v>
      </c>
      <c r="D25" s="54" t="s">
        <v>175</v>
      </c>
      <c r="E25" s="55">
        <v>24990</v>
      </c>
      <c r="F25" s="281">
        <v>24990</v>
      </c>
      <c r="G25" s="34" t="s">
        <v>242</v>
      </c>
      <c r="H25" s="280"/>
    </row>
    <row r="26" spans="1:8" ht="21.5" thickBot="1">
      <c r="A26" s="50" t="s">
        <v>252</v>
      </c>
      <c r="B26" s="50">
        <v>16</v>
      </c>
      <c r="C26" s="50" t="s">
        <v>152</v>
      </c>
      <c r="D26" s="54" t="s">
        <v>15</v>
      </c>
      <c r="E26" s="55">
        <v>5400</v>
      </c>
      <c r="F26" s="281">
        <v>5400</v>
      </c>
      <c r="G26" s="34" t="s">
        <v>242</v>
      </c>
      <c r="H26" s="280"/>
    </row>
    <row r="27" spans="1:8" ht="21.5" thickBot="1">
      <c r="A27" s="50" t="s">
        <v>252</v>
      </c>
      <c r="B27" s="50">
        <v>17</v>
      </c>
      <c r="C27" s="50" t="s">
        <v>153</v>
      </c>
      <c r="D27" s="54" t="s">
        <v>177</v>
      </c>
      <c r="E27" s="55">
        <v>3000</v>
      </c>
      <c r="F27" s="281">
        <v>3000</v>
      </c>
      <c r="G27" s="34" t="s">
        <v>242</v>
      </c>
      <c r="H27" s="280"/>
    </row>
    <row r="28" spans="1:8" ht="21.5" thickBot="1">
      <c r="A28" s="50" t="s">
        <v>252</v>
      </c>
      <c r="B28" s="50">
        <v>18</v>
      </c>
      <c r="C28" s="50" t="s">
        <v>154</v>
      </c>
      <c r="D28" s="54" t="s">
        <v>15</v>
      </c>
      <c r="E28" s="55">
        <v>7000</v>
      </c>
      <c r="F28" s="281">
        <v>7000</v>
      </c>
      <c r="G28" s="34" t="s">
        <v>242</v>
      </c>
      <c r="H28" s="280"/>
    </row>
    <row r="29" spans="1:8" ht="21.5" thickBot="1">
      <c r="A29" s="50" t="s">
        <v>252</v>
      </c>
      <c r="B29" s="50">
        <v>19</v>
      </c>
      <c r="C29" s="50" t="s">
        <v>155</v>
      </c>
      <c r="D29" s="54" t="s">
        <v>15</v>
      </c>
      <c r="E29" s="55">
        <v>6000</v>
      </c>
      <c r="F29" s="281">
        <v>6000</v>
      </c>
      <c r="G29" s="34" t="s">
        <v>242</v>
      </c>
      <c r="H29" s="280"/>
    </row>
    <row r="30" spans="1:8" ht="21.5" thickBot="1">
      <c r="A30" s="50" t="s">
        <v>252</v>
      </c>
      <c r="B30" s="50">
        <v>20</v>
      </c>
      <c r="C30" s="50" t="s">
        <v>165</v>
      </c>
      <c r="D30" s="54" t="s">
        <v>178</v>
      </c>
      <c r="E30" s="55">
        <v>8000</v>
      </c>
      <c r="F30" s="281">
        <v>8000</v>
      </c>
      <c r="G30" s="34" t="s">
        <v>242</v>
      </c>
      <c r="H30" s="280"/>
    </row>
    <row r="31" spans="1:8" ht="21.5" thickBot="1">
      <c r="A31" s="50" t="s">
        <v>252</v>
      </c>
      <c r="B31" s="50">
        <v>21</v>
      </c>
      <c r="C31" s="50" t="s">
        <v>156</v>
      </c>
      <c r="D31" s="54" t="s">
        <v>175</v>
      </c>
      <c r="E31" s="55">
        <v>8000</v>
      </c>
      <c r="F31" s="281">
        <v>8000</v>
      </c>
      <c r="G31" s="34" t="s">
        <v>242</v>
      </c>
      <c r="H31" s="280"/>
    </row>
    <row r="32" spans="1:8" ht="21.5" thickBot="1">
      <c r="A32" s="50" t="s">
        <v>252</v>
      </c>
      <c r="B32" s="50">
        <v>22</v>
      </c>
      <c r="C32" s="50" t="s">
        <v>149</v>
      </c>
      <c r="D32" s="54" t="s">
        <v>175</v>
      </c>
      <c r="E32" s="55">
        <v>3000</v>
      </c>
      <c r="F32" s="281">
        <v>3000</v>
      </c>
      <c r="G32" s="34" t="s">
        <v>242</v>
      </c>
      <c r="H32" s="280"/>
    </row>
    <row r="33" spans="1:11" ht="21.5" thickBot="1">
      <c r="A33" s="50" t="s">
        <v>252</v>
      </c>
      <c r="B33" s="50">
        <v>23</v>
      </c>
      <c r="C33" s="50" t="s">
        <v>150</v>
      </c>
      <c r="D33" s="54" t="s">
        <v>194</v>
      </c>
      <c r="E33" s="55">
        <v>6000</v>
      </c>
      <c r="F33" s="281">
        <v>6000</v>
      </c>
      <c r="G33" s="34" t="s">
        <v>242</v>
      </c>
      <c r="H33" s="280"/>
    </row>
    <row r="34" spans="1:11" ht="21.5" thickBot="1">
      <c r="A34" s="50" t="s">
        <v>252</v>
      </c>
      <c r="B34" s="50">
        <v>24</v>
      </c>
      <c r="C34" s="50" t="s">
        <v>145</v>
      </c>
      <c r="D34" s="54" t="s">
        <v>173</v>
      </c>
      <c r="E34" s="55">
        <v>18000</v>
      </c>
      <c r="F34" s="281">
        <v>18000</v>
      </c>
      <c r="G34" s="34" t="s">
        <v>242</v>
      </c>
      <c r="H34" s="280"/>
    </row>
    <row r="35" spans="1:11" ht="21.5" thickBot="1">
      <c r="A35" s="50" t="s">
        <v>205</v>
      </c>
      <c r="B35" s="50">
        <v>15</v>
      </c>
      <c r="C35" s="50" t="s">
        <v>152</v>
      </c>
      <c r="D35" s="54" t="s">
        <v>15</v>
      </c>
      <c r="E35" s="55">
        <v>2700</v>
      </c>
      <c r="F35" s="281">
        <v>2700</v>
      </c>
      <c r="G35" s="34" t="s">
        <v>242</v>
      </c>
      <c r="H35" s="280"/>
    </row>
    <row r="36" spans="1:11" ht="21.5" thickBot="1">
      <c r="A36" s="50" t="s">
        <v>205</v>
      </c>
      <c r="B36" s="50">
        <v>16</v>
      </c>
      <c r="C36" s="50" t="s">
        <v>153</v>
      </c>
      <c r="D36" s="54" t="s">
        <v>176</v>
      </c>
      <c r="E36" s="55">
        <v>3000</v>
      </c>
      <c r="F36" s="281">
        <v>3000</v>
      </c>
      <c r="G36" s="34" t="s">
        <v>242</v>
      </c>
      <c r="H36" s="280"/>
    </row>
    <row r="37" spans="1:11" ht="21.5" thickBot="1">
      <c r="A37" s="50" t="s">
        <v>205</v>
      </c>
      <c r="B37" s="50">
        <v>17</v>
      </c>
      <c r="C37" s="50" t="s">
        <v>154</v>
      </c>
      <c r="D37" s="54" t="s">
        <v>15</v>
      </c>
      <c r="E37" s="55">
        <v>7000</v>
      </c>
      <c r="F37" s="281">
        <v>7000</v>
      </c>
      <c r="G37" s="34" t="s">
        <v>242</v>
      </c>
      <c r="H37" s="280"/>
    </row>
    <row r="38" spans="1:11" ht="21.5" thickBot="1">
      <c r="A38" s="50" t="s">
        <v>205</v>
      </c>
      <c r="B38" s="50">
        <v>18</v>
      </c>
      <c r="C38" s="50" t="s">
        <v>156</v>
      </c>
      <c r="D38" s="54" t="s">
        <v>175</v>
      </c>
      <c r="E38" s="55">
        <v>8000</v>
      </c>
      <c r="F38" s="281">
        <v>8000</v>
      </c>
      <c r="G38" s="34" t="s">
        <v>242</v>
      </c>
      <c r="H38" s="280"/>
    </row>
    <row r="39" spans="1:11" ht="21.5" thickBot="1">
      <c r="A39" s="50" t="s">
        <v>205</v>
      </c>
      <c r="B39" s="50">
        <v>19</v>
      </c>
      <c r="C39" s="50" t="s">
        <v>149</v>
      </c>
      <c r="D39" s="54" t="s">
        <v>175</v>
      </c>
      <c r="E39" s="55">
        <v>3000</v>
      </c>
      <c r="F39" s="281">
        <v>3000</v>
      </c>
      <c r="G39" s="34" t="s">
        <v>242</v>
      </c>
      <c r="H39" s="280"/>
    </row>
    <row r="40" spans="1:11" ht="21.5" thickBot="1">
      <c r="A40" s="50" t="s">
        <v>205</v>
      </c>
      <c r="B40" s="50">
        <v>20</v>
      </c>
      <c r="C40" s="50" t="s">
        <v>150</v>
      </c>
      <c r="D40" s="54" t="s">
        <v>194</v>
      </c>
      <c r="E40" s="55">
        <v>6000</v>
      </c>
      <c r="F40" s="281">
        <v>6000</v>
      </c>
      <c r="G40" s="34" t="s">
        <v>242</v>
      </c>
      <c r="H40" s="280"/>
    </row>
    <row r="41" spans="1:11" ht="21.5" thickBot="1">
      <c r="A41" s="50" t="s">
        <v>205</v>
      </c>
      <c r="B41" s="50">
        <v>21</v>
      </c>
      <c r="C41" s="50" t="s">
        <v>145</v>
      </c>
      <c r="D41" s="54" t="s">
        <v>179</v>
      </c>
      <c r="E41" s="55">
        <v>18000</v>
      </c>
      <c r="F41" s="281">
        <v>18000</v>
      </c>
      <c r="G41" s="34" t="s">
        <v>242</v>
      </c>
      <c r="H41" s="280"/>
    </row>
    <row r="42" spans="1:11" ht="21.5" thickBot="1">
      <c r="A42" s="50" t="s">
        <v>205</v>
      </c>
      <c r="B42" s="50">
        <v>22</v>
      </c>
      <c r="C42" s="50" t="s">
        <v>243</v>
      </c>
      <c r="D42" s="54" t="s">
        <v>181</v>
      </c>
      <c r="E42" s="55">
        <v>20000</v>
      </c>
      <c r="F42" s="281">
        <v>19400</v>
      </c>
      <c r="G42" s="34" t="s">
        <v>242</v>
      </c>
      <c r="H42" s="280"/>
    </row>
    <row r="43" spans="1:11" ht="21.5" thickBot="1">
      <c r="A43" s="50" t="s">
        <v>205</v>
      </c>
      <c r="B43" s="50">
        <v>23</v>
      </c>
      <c r="C43" s="50" t="s">
        <v>160</v>
      </c>
      <c r="D43" s="54" t="s">
        <v>181</v>
      </c>
      <c r="E43" s="55">
        <v>13200</v>
      </c>
      <c r="F43" s="281">
        <v>13200</v>
      </c>
      <c r="G43" s="34" t="s">
        <v>242</v>
      </c>
      <c r="H43" s="280"/>
      <c r="K43" s="131"/>
    </row>
    <row r="44" spans="1:11" ht="21.5" thickBot="1">
      <c r="A44" s="50" t="s">
        <v>205</v>
      </c>
      <c r="B44" s="50">
        <v>24</v>
      </c>
      <c r="C44" s="50" t="s">
        <v>157</v>
      </c>
      <c r="D44" s="54" t="s">
        <v>181</v>
      </c>
      <c r="E44" s="55">
        <v>6800</v>
      </c>
      <c r="F44" s="281">
        <v>6596</v>
      </c>
      <c r="G44" s="34" t="s">
        <v>242</v>
      </c>
      <c r="H44" s="280"/>
    </row>
    <row r="45" spans="1:11" ht="21.5" thickBot="1">
      <c r="A45" s="50" t="s">
        <v>205</v>
      </c>
      <c r="B45" s="50">
        <v>25</v>
      </c>
      <c r="C45" s="50" t="s">
        <v>244</v>
      </c>
      <c r="D45" s="54" t="s">
        <v>181</v>
      </c>
      <c r="E45" s="55">
        <v>10000</v>
      </c>
      <c r="F45" s="281">
        <v>9700</v>
      </c>
      <c r="G45" s="34" t="s">
        <v>242</v>
      </c>
      <c r="H45" s="280"/>
    </row>
    <row r="46" spans="1:11" ht="21.5" thickBot="1">
      <c r="A46" s="50" t="s">
        <v>205</v>
      </c>
      <c r="B46" s="50">
        <v>26</v>
      </c>
      <c r="C46" s="50" t="s">
        <v>159</v>
      </c>
      <c r="D46" s="54" t="s">
        <v>181</v>
      </c>
      <c r="E46" s="55">
        <v>1190</v>
      </c>
      <c r="F46" s="281">
        <v>1190</v>
      </c>
      <c r="G46" s="34" t="s">
        <v>242</v>
      </c>
      <c r="H46" s="280"/>
      <c r="J46" s="132">
        <f>323219-319217</f>
        <v>4002</v>
      </c>
    </row>
    <row r="47" spans="1:11" ht="21.5" thickBot="1">
      <c r="A47" s="50" t="s">
        <v>253</v>
      </c>
      <c r="B47" s="50">
        <v>37</v>
      </c>
      <c r="C47" s="50" t="s">
        <v>144</v>
      </c>
      <c r="D47" s="54" t="s">
        <v>172</v>
      </c>
      <c r="E47" s="55">
        <v>31500</v>
      </c>
      <c r="F47" s="34">
        <v>31500</v>
      </c>
      <c r="G47" s="34" t="s">
        <v>30</v>
      </c>
      <c r="H47" s="280"/>
    </row>
    <row r="48" spans="1:11" ht="21.5" thickBot="1">
      <c r="A48" s="50" t="s">
        <v>252</v>
      </c>
      <c r="B48" s="50">
        <v>1</v>
      </c>
      <c r="C48" s="50" t="s">
        <v>144</v>
      </c>
      <c r="D48" s="54" t="s">
        <v>172</v>
      </c>
      <c r="E48" s="55">
        <v>19000</v>
      </c>
      <c r="F48" s="34">
        <v>19000</v>
      </c>
      <c r="G48" s="34" t="s">
        <v>30</v>
      </c>
      <c r="H48" s="280"/>
    </row>
    <row r="49" spans="1:8" ht="21.5" thickBot="1">
      <c r="A49" s="50" t="s">
        <v>205</v>
      </c>
      <c r="B49" s="50">
        <v>9</v>
      </c>
      <c r="C49" s="50" t="s">
        <v>144</v>
      </c>
      <c r="D49" s="54" t="s">
        <v>172</v>
      </c>
      <c r="E49" s="55">
        <v>14000</v>
      </c>
      <c r="F49" s="34">
        <v>14000</v>
      </c>
      <c r="G49" s="34" t="s">
        <v>30</v>
      </c>
      <c r="H49" s="280"/>
    </row>
    <row r="50" spans="1:8" ht="42.5" thickBot="1">
      <c r="A50" s="50" t="s">
        <v>248</v>
      </c>
      <c r="B50" s="169">
        <v>6437</v>
      </c>
      <c r="C50" s="169">
        <v>27898</v>
      </c>
      <c r="D50" s="191" t="s">
        <v>231</v>
      </c>
      <c r="E50" s="191" t="s">
        <v>172</v>
      </c>
      <c r="F50" s="56">
        <v>10000</v>
      </c>
      <c r="G50" s="56" t="s">
        <v>30</v>
      </c>
      <c r="H50" s="280"/>
    </row>
    <row r="51" spans="1:8" ht="21.5" thickBot="1">
      <c r="A51" s="50" t="s">
        <v>248</v>
      </c>
      <c r="B51" s="169">
        <v>5112</v>
      </c>
      <c r="C51" s="169">
        <v>18257</v>
      </c>
      <c r="D51" s="191" t="s">
        <v>220</v>
      </c>
      <c r="E51" s="191" t="s">
        <v>172</v>
      </c>
      <c r="F51" s="56">
        <v>85320</v>
      </c>
      <c r="G51" s="56" t="s">
        <v>30</v>
      </c>
      <c r="H51" s="280"/>
    </row>
    <row r="52" spans="1:8" ht="42.5" thickBot="1">
      <c r="A52" s="50" t="s">
        <v>248</v>
      </c>
      <c r="B52" s="169">
        <v>6656</v>
      </c>
      <c r="C52" s="169">
        <v>26177</v>
      </c>
      <c r="D52" s="191" t="s">
        <v>220</v>
      </c>
      <c r="E52" s="191" t="s">
        <v>232</v>
      </c>
      <c r="F52" s="56">
        <v>85320</v>
      </c>
      <c r="G52" s="56" t="s">
        <v>30</v>
      </c>
      <c r="H52" s="280"/>
    </row>
    <row r="53" spans="1:8" ht="21.5" thickBot="1">
      <c r="A53" s="50" t="s">
        <v>248</v>
      </c>
      <c r="B53" s="169">
        <v>3463</v>
      </c>
      <c r="C53" s="169">
        <v>14804</v>
      </c>
      <c r="D53" s="191" t="s">
        <v>214</v>
      </c>
      <c r="E53" s="191" t="s">
        <v>181</v>
      </c>
      <c r="F53" s="281">
        <v>100048</v>
      </c>
      <c r="G53" s="56" t="s">
        <v>226</v>
      </c>
      <c r="H53" s="280">
        <v>45140</v>
      </c>
    </row>
    <row r="54" spans="1:8" ht="21.5" thickBot="1">
      <c r="A54" s="50" t="s">
        <v>248</v>
      </c>
      <c r="B54" s="169">
        <v>3463</v>
      </c>
      <c r="C54" s="169">
        <v>14816</v>
      </c>
      <c r="D54" s="191" t="s">
        <v>214</v>
      </c>
      <c r="E54" s="191" t="s">
        <v>181</v>
      </c>
      <c r="F54" s="281">
        <v>112520</v>
      </c>
      <c r="G54" s="56" t="s">
        <v>226</v>
      </c>
      <c r="H54" s="280">
        <v>45140</v>
      </c>
    </row>
    <row r="55" spans="1:8" ht="21.5" thickBot="1">
      <c r="A55" s="50" t="s">
        <v>253</v>
      </c>
      <c r="B55" s="50">
        <v>47</v>
      </c>
      <c r="C55" s="50" t="s">
        <v>146</v>
      </c>
      <c r="D55" s="54" t="s">
        <v>174</v>
      </c>
      <c r="E55" s="55">
        <v>9000</v>
      </c>
      <c r="F55" s="281">
        <v>8550</v>
      </c>
      <c r="G55" s="34" t="s">
        <v>255</v>
      </c>
      <c r="H55" s="280">
        <v>45202</v>
      </c>
    </row>
    <row r="56" spans="1:8" ht="21.5" thickBot="1">
      <c r="A56" s="50" t="s">
        <v>253</v>
      </c>
      <c r="B56" s="50">
        <v>50</v>
      </c>
      <c r="C56" s="50" t="s">
        <v>146</v>
      </c>
      <c r="D56" s="54" t="s">
        <v>174</v>
      </c>
      <c r="E56" s="55">
        <v>9000</v>
      </c>
      <c r="F56" s="281">
        <v>8550</v>
      </c>
      <c r="G56" s="34" t="s">
        <v>255</v>
      </c>
      <c r="H56" s="280">
        <v>45202</v>
      </c>
    </row>
    <row r="57" spans="1:8" ht="21.5" thickBot="1">
      <c r="A57" s="50" t="s">
        <v>253</v>
      </c>
      <c r="B57" s="50">
        <v>53</v>
      </c>
      <c r="C57" s="50" t="s">
        <v>146</v>
      </c>
      <c r="D57" s="54" t="s">
        <v>174</v>
      </c>
      <c r="E57" s="55">
        <v>9000</v>
      </c>
      <c r="F57" s="281">
        <v>8550</v>
      </c>
      <c r="G57" s="34" t="s">
        <v>255</v>
      </c>
      <c r="H57" s="280">
        <v>45202</v>
      </c>
    </row>
    <row r="58" spans="1:8" ht="21.5" thickBot="1">
      <c r="A58" s="50" t="s">
        <v>253</v>
      </c>
      <c r="B58" s="50">
        <v>56</v>
      </c>
      <c r="C58" s="50" t="s">
        <v>145</v>
      </c>
      <c r="D58" s="54" t="s">
        <v>173</v>
      </c>
      <c r="E58" s="55">
        <v>36000</v>
      </c>
      <c r="F58" s="281">
        <v>36000</v>
      </c>
      <c r="G58" s="34" t="s">
        <v>255</v>
      </c>
      <c r="H58" s="280">
        <v>45202</v>
      </c>
    </row>
    <row r="59" spans="1:8" ht="21.5" thickBot="1">
      <c r="A59" s="50" t="s">
        <v>253</v>
      </c>
      <c r="B59" s="50">
        <v>57</v>
      </c>
      <c r="C59" s="50" t="s">
        <v>149</v>
      </c>
      <c r="D59" s="54" t="s">
        <v>175</v>
      </c>
      <c r="E59" s="55">
        <v>24990</v>
      </c>
      <c r="F59" s="281">
        <v>24990</v>
      </c>
      <c r="G59" s="34" t="s">
        <v>255</v>
      </c>
      <c r="H59" s="280">
        <v>45202</v>
      </c>
    </row>
    <row r="60" spans="1:8" ht="42.5" thickBot="1">
      <c r="A60" s="50" t="s">
        <v>253</v>
      </c>
      <c r="B60" s="50">
        <v>58</v>
      </c>
      <c r="C60" s="50" t="s">
        <v>150</v>
      </c>
      <c r="D60" s="54" t="s">
        <v>184</v>
      </c>
      <c r="E60" s="55">
        <v>9000</v>
      </c>
      <c r="F60" s="281">
        <v>9000</v>
      </c>
      <c r="G60" s="34" t="s">
        <v>255</v>
      </c>
      <c r="H60" s="280">
        <v>45202</v>
      </c>
    </row>
    <row r="61" spans="1:8" ht="21.5" thickBot="1">
      <c r="A61" s="50" t="s">
        <v>253</v>
      </c>
      <c r="B61" s="50">
        <v>59</v>
      </c>
      <c r="C61" s="50" t="s">
        <v>151</v>
      </c>
      <c r="D61" s="54" t="s">
        <v>185</v>
      </c>
      <c r="E61" s="55">
        <v>39000</v>
      </c>
      <c r="F61" s="281">
        <v>37830</v>
      </c>
      <c r="G61" s="34" t="s">
        <v>255</v>
      </c>
      <c r="H61" s="280">
        <v>45202</v>
      </c>
    </row>
    <row r="62" spans="1:8" ht="21.5" thickBot="1">
      <c r="A62" s="50" t="s">
        <v>253</v>
      </c>
      <c r="B62" s="50">
        <v>61</v>
      </c>
      <c r="C62" s="50" t="s">
        <v>153</v>
      </c>
      <c r="D62" s="54" t="s">
        <v>176</v>
      </c>
      <c r="E62" s="55">
        <v>23400</v>
      </c>
      <c r="F62" s="281">
        <v>23400</v>
      </c>
      <c r="G62" s="34" t="s">
        <v>255</v>
      </c>
      <c r="H62" s="280">
        <v>45202</v>
      </c>
    </row>
    <row r="63" spans="1:8" ht="21.5" thickBot="1">
      <c r="A63" s="50" t="s">
        <v>253</v>
      </c>
      <c r="B63" s="50">
        <v>64</v>
      </c>
      <c r="C63" s="50" t="s">
        <v>156</v>
      </c>
      <c r="D63" s="54" t="s">
        <v>175</v>
      </c>
      <c r="E63" s="55">
        <v>24000</v>
      </c>
      <c r="F63" s="281">
        <v>24000</v>
      </c>
      <c r="G63" s="34" t="s">
        <v>255</v>
      </c>
      <c r="H63" s="280">
        <v>45202</v>
      </c>
    </row>
    <row r="64" spans="1:8" ht="21.5" thickBot="1">
      <c r="A64" s="50" t="s">
        <v>248</v>
      </c>
      <c r="B64" s="169">
        <v>3466</v>
      </c>
      <c r="C64" s="169">
        <v>14818</v>
      </c>
      <c r="D64" s="191" t="s">
        <v>220</v>
      </c>
      <c r="E64" s="191" t="s">
        <v>221</v>
      </c>
      <c r="F64" s="281">
        <v>82800</v>
      </c>
      <c r="G64" s="56" t="s">
        <v>183</v>
      </c>
      <c r="H64" s="280">
        <v>45140</v>
      </c>
    </row>
    <row r="65" spans="1:10" ht="63.5" thickBot="1">
      <c r="A65" s="50" t="s">
        <v>248</v>
      </c>
      <c r="B65" s="169">
        <v>3465</v>
      </c>
      <c r="C65" s="169">
        <v>16010</v>
      </c>
      <c r="D65" s="191" t="s">
        <v>218</v>
      </c>
      <c r="E65" s="191" t="s">
        <v>172</v>
      </c>
      <c r="F65" s="281">
        <v>99000</v>
      </c>
      <c r="G65" s="56" t="s">
        <v>227</v>
      </c>
      <c r="H65" s="280">
        <v>45160</v>
      </c>
    </row>
    <row r="66" spans="1:10" ht="21.5" thickBot="1">
      <c r="A66" s="50" t="s">
        <v>253</v>
      </c>
      <c r="B66" s="50">
        <v>45</v>
      </c>
      <c r="C66" s="50" t="s">
        <v>162</v>
      </c>
      <c r="D66" s="54" t="s">
        <v>181</v>
      </c>
      <c r="E66" s="55">
        <v>80480</v>
      </c>
      <c r="F66" s="281">
        <v>78065.600000000006</v>
      </c>
      <c r="G66" s="34" t="s">
        <v>182</v>
      </c>
      <c r="H66" s="280">
        <v>45163</v>
      </c>
    </row>
    <row r="67" spans="1:10" ht="21.5" thickBot="1">
      <c r="A67" s="50" t="s">
        <v>253</v>
      </c>
      <c r="B67" s="50">
        <v>46</v>
      </c>
      <c r="C67" s="50" t="s">
        <v>163</v>
      </c>
      <c r="D67" s="54" t="s">
        <v>181</v>
      </c>
      <c r="E67" s="55">
        <v>700000</v>
      </c>
      <c r="F67" s="281">
        <v>679000</v>
      </c>
      <c r="G67" s="34" t="s">
        <v>182</v>
      </c>
      <c r="H67" s="280">
        <v>45163</v>
      </c>
    </row>
    <row r="68" spans="1:10" ht="21.5" thickBot="1">
      <c r="A68" s="50" t="s">
        <v>248</v>
      </c>
      <c r="B68" s="169">
        <v>4937</v>
      </c>
      <c r="C68" s="169">
        <v>18227</v>
      </c>
      <c r="D68" s="191" t="s">
        <v>214</v>
      </c>
      <c r="E68" s="191" t="s">
        <v>181</v>
      </c>
      <c r="F68" s="281">
        <v>60000</v>
      </c>
      <c r="G68" s="56" t="s">
        <v>224</v>
      </c>
      <c r="H68" s="280">
        <v>45187</v>
      </c>
    </row>
    <row r="69" spans="1:10" ht="21.5" thickBot="1">
      <c r="A69" s="50" t="s">
        <v>248</v>
      </c>
      <c r="B69" s="169">
        <v>4937</v>
      </c>
      <c r="C69" s="169">
        <v>18224</v>
      </c>
      <c r="D69" s="191" t="s">
        <v>214</v>
      </c>
      <c r="E69" s="191" t="s">
        <v>181</v>
      </c>
      <c r="F69" s="281">
        <v>86882.9</v>
      </c>
      <c r="G69" s="56" t="s">
        <v>224</v>
      </c>
      <c r="H69" s="280">
        <v>45187</v>
      </c>
    </row>
    <row r="70" spans="1:10" ht="21.5" thickBot="1">
      <c r="A70" s="50" t="s">
        <v>248</v>
      </c>
      <c r="B70" s="169">
        <v>4937</v>
      </c>
      <c r="C70" s="169">
        <v>19576</v>
      </c>
      <c r="D70" s="191" t="s">
        <v>220</v>
      </c>
      <c r="E70" s="191" t="s">
        <v>221</v>
      </c>
      <c r="F70" s="281">
        <v>82950</v>
      </c>
      <c r="G70" s="56" t="s">
        <v>222</v>
      </c>
      <c r="H70" s="280">
        <v>45201</v>
      </c>
    </row>
    <row r="71" spans="1:10" ht="21.5" thickBot="1">
      <c r="A71" s="50" t="s">
        <v>248</v>
      </c>
      <c r="B71" s="169">
        <v>5110</v>
      </c>
      <c r="C71" s="169">
        <v>19579</v>
      </c>
      <c r="D71" s="191" t="s">
        <v>214</v>
      </c>
      <c r="E71" s="191" t="s">
        <v>181</v>
      </c>
      <c r="F71" s="281">
        <v>18356</v>
      </c>
      <c r="G71" s="56" t="s">
        <v>223</v>
      </c>
      <c r="H71" s="280">
        <v>45201</v>
      </c>
    </row>
    <row r="72" spans="1:10" ht="21.5" thickBot="1">
      <c r="A72" s="50" t="s">
        <v>248</v>
      </c>
      <c r="B72" s="169">
        <v>5110</v>
      </c>
      <c r="C72" s="169">
        <v>19578</v>
      </c>
      <c r="D72" s="191" t="s">
        <v>214</v>
      </c>
      <c r="E72" s="191" t="s">
        <v>181</v>
      </c>
      <c r="F72" s="281">
        <v>41004</v>
      </c>
      <c r="G72" s="56" t="s">
        <v>223</v>
      </c>
      <c r="H72" s="280">
        <v>45201</v>
      </c>
    </row>
    <row r="73" spans="1:10" ht="63.5" thickBot="1">
      <c r="A73" s="50" t="s">
        <v>248</v>
      </c>
      <c r="B73" s="169">
        <v>4937</v>
      </c>
      <c r="C73" s="169">
        <v>20391</v>
      </c>
      <c r="D73" s="191" t="s">
        <v>218</v>
      </c>
      <c r="E73" s="191" t="s">
        <v>172</v>
      </c>
      <c r="F73" s="281">
        <v>99000</v>
      </c>
      <c r="G73" s="56" t="s">
        <v>219</v>
      </c>
      <c r="H73" s="280">
        <v>45215</v>
      </c>
    </row>
    <row r="74" spans="1:10" ht="21.5" thickBot="1">
      <c r="A74" s="50" t="s">
        <v>253</v>
      </c>
      <c r="B74" s="50">
        <v>65</v>
      </c>
      <c r="C74" s="50" t="s">
        <v>163</v>
      </c>
      <c r="D74" s="54" t="s">
        <v>181</v>
      </c>
      <c r="E74" s="55">
        <v>286000</v>
      </c>
      <c r="F74" s="281">
        <v>277420</v>
      </c>
      <c r="G74" s="34" t="s">
        <v>187</v>
      </c>
      <c r="H74" s="280">
        <v>45217</v>
      </c>
      <c r="J74" s="132">
        <v>278603.45</v>
      </c>
    </row>
    <row r="75" spans="1:10" ht="21.5" thickBot="1">
      <c r="A75" s="50" t="s">
        <v>205</v>
      </c>
      <c r="B75" s="50">
        <v>1</v>
      </c>
      <c r="C75" s="50" t="s">
        <v>152</v>
      </c>
      <c r="D75" s="54" t="s">
        <v>15</v>
      </c>
      <c r="E75" s="55">
        <v>10800</v>
      </c>
      <c r="F75" s="281">
        <v>10800</v>
      </c>
      <c r="G75" s="34" t="s">
        <v>199</v>
      </c>
      <c r="H75" s="280">
        <v>45222</v>
      </c>
    </row>
    <row r="76" spans="1:10" ht="21.5" thickBot="1">
      <c r="A76" s="50" t="s">
        <v>205</v>
      </c>
      <c r="B76" s="50">
        <v>2</v>
      </c>
      <c r="C76" s="50" t="s">
        <v>153</v>
      </c>
      <c r="D76" s="54" t="s">
        <v>176</v>
      </c>
      <c r="E76" s="55">
        <v>6000</v>
      </c>
      <c r="F76" s="281">
        <v>6000</v>
      </c>
      <c r="G76" s="34" t="s">
        <v>199</v>
      </c>
      <c r="H76" s="280">
        <v>45222</v>
      </c>
      <c r="J76" s="147"/>
    </row>
    <row r="77" spans="1:10" ht="21.5" thickBot="1">
      <c r="A77" s="50" t="s">
        <v>205</v>
      </c>
      <c r="B77" s="50">
        <v>3</v>
      </c>
      <c r="C77" s="50" t="s">
        <v>154</v>
      </c>
      <c r="D77" s="54" t="s">
        <v>15</v>
      </c>
      <c r="E77" s="55">
        <v>14000</v>
      </c>
      <c r="F77" s="281">
        <v>14000</v>
      </c>
      <c r="G77" s="34" t="s">
        <v>199</v>
      </c>
      <c r="H77" s="280">
        <v>45222</v>
      </c>
    </row>
    <row r="78" spans="1:10" ht="21.5" thickBot="1">
      <c r="A78" s="50" t="s">
        <v>205</v>
      </c>
      <c r="B78" s="50">
        <v>4</v>
      </c>
      <c r="C78" s="50" t="s">
        <v>155</v>
      </c>
      <c r="D78" s="54" t="s">
        <v>15</v>
      </c>
      <c r="E78" s="55">
        <v>12000</v>
      </c>
      <c r="F78" s="281">
        <v>12000</v>
      </c>
      <c r="G78" s="34" t="s">
        <v>199</v>
      </c>
      <c r="H78" s="280">
        <v>45222</v>
      </c>
    </row>
    <row r="79" spans="1:10" ht="21.5" thickBot="1">
      <c r="A79" s="50" t="s">
        <v>205</v>
      </c>
      <c r="B79" s="50">
        <v>7</v>
      </c>
      <c r="C79" s="50" t="s">
        <v>150</v>
      </c>
      <c r="D79" s="54" t="s">
        <v>194</v>
      </c>
      <c r="E79" s="55">
        <v>6000</v>
      </c>
      <c r="F79" s="281">
        <v>6000</v>
      </c>
      <c r="G79" s="34" t="s">
        <v>199</v>
      </c>
      <c r="H79" s="280">
        <v>45222</v>
      </c>
    </row>
    <row r="80" spans="1:10" ht="21.5" thickBot="1">
      <c r="A80" s="50" t="s">
        <v>205</v>
      </c>
      <c r="B80" s="50">
        <v>8</v>
      </c>
      <c r="C80" s="50" t="s">
        <v>145</v>
      </c>
      <c r="D80" s="54" t="s">
        <v>179</v>
      </c>
      <c r="E80" s="55">
        <v>27000</v>
      </c>
      <c r="F80" s="281">
        <v>27000</v>
      </c>
      <c r="G80" s="34" t="s">
        <v>199</v>
      </c>
      <c r="H80" s="280">
        <v>45222</v>
      </c>
    </row>
    <row r="81" spans="1:8" ht="21.5" thickBot="1">
      <c r="A81" s="50" t="s">
        <v>252</v>
      </c>
      <c r="B81" s="50">
        <v>3</v>
      </c>
      <c r="C81" s="50" t="s">
        <v>150</v>
      </c>
      <c r="D81" s="54" t="s">
        <v>194</v>
      </c>
      <c r="E81" s="55">
        <v>6000</v>
      </c>
      <c r="F81" s="281">
        <v>6000</v>
      </c>
      <c r="G81" s="34" t="s">
        <v>193</v>
      </c>
      <c r="H81" s="280">
        <v>45222</v>
      </c>
    </row>
    <row r="82" spans="1:8" ht="21.5" thickBot="1">
      <c r="A82" s="50" t="s">
        <v>252</v>
      </c>
      <c r="B82" s="50">
        <v>5</v>
      </c>
      <c r="C82" s="50" t="s">
        <v>152</v>
      </c>
      <c r="D82" s="54" t="s">
        <v>15</v>
      </c>
      <c r="E82" s="55">
        <v>10800</v>
      </c>
      <c r="F82" s="281">
        <v>10800</v>
      </c>
      <c r="G82" s="34" t="s">
        <v>193</v>
      </c>
      <c r="H82" s="280">
        <v>45222</v>
      </c>
    </row>
    <row r="83" spans="1:8" ht="21.5" thickBot="1">
      <c r="A83" s="50" t="s">
        <v>252</v>
      </c>
      <c r="B83" s="50">
        <v>6</v>
      </c>
      <c r="C83" s="50" t="s">
        <v>153</v>
      </c>
      <c r="D83" s="54" t="s">
        <v>177</v>
      </c>
      <c r="E83" s="55">
        <v>6000</v>
      </c>
      <c r="F83" s="281">
        <v>6000</v>
      </c>
      <c r="G83" s="34" t="s">
        <v>193</v>
      </c>
      <c r="H83" s="280">
        <v>45222</v>
      </c>
    </row>
    <row r="84" spans="1:8" ht="21.5" thickBot="1">
      <c r="A84" s="50" t="s">
        <v>252</v>
      </c>
      <c r="B84" s="50">
        <v>7</v>
      </c>
      <c r="C84" s="50" t="s">
        <v>154</v>
      </c>
      <c r="D84" s="54" t="s">
        <v>15</v>
      </c>
      <c r="E84" s="55">
        <v>14000</v>
      </c>
      <c r="F84" s="281">
        <v>14000</v>
      </c>
      <c r="G84" s="34" t="s">
        <v>193</v>
      </c>
      <c r="H84" s="280">
        <v>45222</v>
      </c>
    </row>
    <row r="85" spans="1:8" ht="21.5" thickBot="1">
      <c r="A85" s="50" t="s">
        <v>252</v>
      </c>
      <c r="B85" s="50">
        <v>8</v>
      </c>
      <c r="C85" s="50" t="s">
        <v>155</v>
      </c>
      <c r="D85" s="54" t="s">
        <v>15</v>
      </c>
      <c r="E85" s="55">
        <v>12000</v>
      </c>
      <c r="F85" s="281">
        <v>12000</v>
      </c>
      <c r="G85" s="34" t="s">
        <v>193</v>
      </c>
      <c r="H85" s="280">
        <v>45222</v>
      </c>
    </row>
    <row r="86" spans="1:8" ht="21.5" thickBot="1">
      <c r="A86" s="50" t="s">
        <v>252</v>
      </c>
      <c r="B86" s="50">
        <v>9</v>
      </c>
      <c r="C86" s="50" t="s">
        <v>165</v>
      </c>
      <c r="D86" s="54" t="s">
        <v>178</v>
      </c>
      <c r="E86" s="55">
        <v>12000</v>
      </c>
      <c r="F86" s="281">
        <v>12000</v>
      </c>
      <c r="G86" s="34" t="s">
        <v>193</v>
      </c>
      <c r="H86" s="280">
        <v>45222</v>
      </c>
    </row>
    <row r="87" spans="1:8" ht="42.5" thickBot="1">
      <c r="A87" s="50" t="s">
        <v>252</v>
      </c>
      <c r="B87" s="50">
        <v>4</v>
      </c>
      <c r="C87" s="50" t="s">
        <v>145</v>
      </c>
      <c r="D87" s="54" t="s">
        <v>173</v>
      </c>
      <c r="E87" s="55">
        <v>36000</v>
      </c>
      <c r="F87" s="281">
        <v>36000</v>
      </c>
      <c r="G87" s="34" t="s">
        <v>196</v>
      </c>
      <c r="H87" s="280">
        <v>45222</v>
      </c>
    </row>
    <row r="88" spans="1:8" ht="21.5" thickBot="1">
      <c r="A88" s="50" t="s">
        <v>205</v>
      </c>
      <c r="B88" s="50">
        <v>10</v>
      </c>
      <c r="C88" s="50" t="s">
        <v>161</v>
      </c>
      <c r="D88" s="54" t="s">
        <v>181</v>
      </c>
      <c r="E88" s="55">
        <v>111824</v>
      </c>
      <c r="F88" s="281">
        <v>108469.28</v>
      </c>
      <c r="G88" s="34" t="s">
        <v>202</v>
      </c>
      <c r="H88" s="280">
        <v>45222</v>
      </c>
    </row>
    <row r="89" spans="1:8" ht="21.5" thickBot="1">
      <c r="A89" s="50" t="s">
        <v>205</v>
      </c>
      <c r="B89" s="50">
        <v>11</v>
      </c>
      <c r="C89" s="50" t="s">
        <v>159</v>
      </c>
      <c r="D89" s="54" t="s">
        <v>181</v>
      </c>
      <c r="E89" s="55">
        <v>30280</v>
      </c>
      <c r="F89" s="281">
        <v>30280</v>
      </c>
      <c r="G89" s="34" t="s">
        <v>202</v>
      </c>
      <c r="H89" s="280">
        <v>45222</v>
      </c>
    </row>
    <row r="90" spans="1:8" ht="21.5" thickBot="1">
      <c r="A90" s="50" t="s">
        <v>205</v>
      </c>
      <c r="B90" s="50">
        <v>12</v>
      </c>
      <c r="C90" s="50" t="s">
        <v>160</v>
      </c>
      <c r="D90" s="54" t="s">
        <v>181</v>
      </c>
      <c r="E90" s="55">
        <v>40370</v>
      </c>
      <c r="F90" s="281">
        <v>40370</v>
      </c>
      <c r="G90" s="34" t="s">
        <v>202</v>
      </c>
      <c r="H90" s="280">
        <v>45222</v>
      </c>
    </row>
    <row r="91" spans="1:8" ht="21.5" thickBot="1">
      <c r="A91" s="50" t="s">
        <v>205</v>
      </c>
      <c r="B91" s="50">
        <v>13</v>
      </c>
      <c r="C91" s="50" t="s">
        <v>158</v>
      </c>
      <c r="D91" s="54" t="s">
        <v>181</v>
      </c>
      <c r="E91" s="55">
        <v>9802</v>
      </c>
      <c r="F91" s="281">
        <v>9507.94</v>
      </c>
      <c r="G91" s="34" t="s">
        <v>202</v>
      </c>
      <c r="H91" s="280">
        <v>45222</v>
      </c>
    </row>
    <row r="92" spans="1:8" ht="21.5" thickBot="1">
      <c r="A92" s="50" t="s">
        <v>252</v>
      </c>
      <c r="B92" s="50">
        <v>14</v>
      </c>
      <c r="C92" s="50" t="s">
        <v>161</v>
      </c>
      <c r="D92" s="54" t="s">
        <v>181</v>
      </c>
      <c r="E92" s="55">
        <v>111824</v>
      </c>
      <c r="F92" s="281">
        <v>108469.28</v>
      </c>
      <c r="G92" s="34" t="s">
        <v>197</v>
      </c>
      <c r="H92" s="280">
        <v>45231</v>
      </c>
    </row>
    <row r="93" spans="1:8" ht="21.5" thickBot="1">
      <c r="A93" s="50" t="s">
        <v>252</v>
      </c>
      <c r="B93" s="50">
        <v>15</v>
      </c>
      <c r="C93" s="50" t="s">
        <v>164</v>
      </c>
      <c r="D93" s="54" t="s">
        <v>181</v>
      </c>
      <c r="E93" s="55">
        <v>281648</v>
      </c>
      <c r="F93" s="281">
        <v>273198.56</v>
      </c>
      <c r="G93" s="34" t="s">
        <v>197</v>
      </c>
      <c r="H93" s="280">
        <v>45231</v>
      </c>
    </row>
    <row r="94" spans="1:8" ht="21.5" thickBot="1">
      <c r="A94" s="50" t="s">
        <v>248</v>
      </c>
      <c r="B94" s="169">
        <v>7358</v>
      </c>
      <c r="C94" s="169">
        <v>23368</v>
      </c>
      <c r="D94" s="191" t="s">
        <v>214</v>
      </c>
      <c r="E94" s="191" t="s">
        <v>181</v>
      </c>
      <c r="F94" s="281">
        <v>22670</v>
      </c>
      <c r="G94" s="56" t="s">
        <v>216</v>
      </c>
      <c r="H94" s="280">
        <v>45238</v>
      </c>
    </row>
    <row r="95" spans="1:8" ht="21.5" thickBot="1">
      <c r="A95" s="50" t="s">
        <v>248</v>
      </c>
      <c r="B95" s="169">
        <v>7358</v>
      </c>
      <c r="C95" s="169">
        <v>23364</v>
      </c>
      <c r="D95" s="191" t="s">
        <v>214</v>
      </c>
      <c r="E95" s="191" t="s">
        <v>181</v>
      </c>
      <c r="F95" s="281">
        <v>123093</v>
      </c>
      <c r="G95" s="56" t="s">
        <v>216</v>
      </c>
      <c r="H95" s="280">
        <v>45238</v>
      </c>
    </row>
    <row r="96" spans="1:8" ht="21.5" thickBot="1">
      <c r="A96" s="50" t="s">
        <v>252</v>
      </c>
      <c r="B96" s="50">
        <v>11</v>
      </c>
      <c r="C96" s="50" t="s">
        <v>159</v>
      </c>
      <c r="D96" s="54" t="s">
        <v>181</v>
      </c>
      <c r="E96" s="55">
        <v>25050</v>
      </c>
      <c r="F96" s="281">
        <v>25050</v>
      </c>
      <c r="G96" s="34" t="s">
        <v>198</v>
      </c>
      <c r="H96" s="280">
        <v>45239</v>
      </c>
    </row>
    <row r="97" spans="1:8" ht="21.5" thickBot="1">
      <c r="A97" s="50" t="s">
        <v>252</v>
      </c>
      <c r="B97" s="50">
        <v>12</v>
      </c>
      <c r="C97" s="50" t="s">
        <v>158</v>
      </c>
      <c r="D97" s="54" t="s">
        <v>181</v>
      </c>
      <c r="E97" s="55">
        <v>9976</v>
      </c>
      <c r="F97" s="281">
        <v>9676.7199999999993</v>
      </c>
      <c r="G97" s="34" t="s">
        <v>198</v>
      </c>
      <c r="H97" s="280">
        <v>45239</v>
      </c>
    </row>
    <row r="98" spans="1:8" ht="21.5" thickBot="1">
      <c r="A98" s="50" t="s">
        <v>252</v>
      </c>
      <c r="B98" s="50">
        <v>13</v>
      </c>
      <c r="C98" s="50" t="s">
        <v>160</v>
      </c>
      <c r="D98" s="54" t="s">
        <v>181</v>
      </c>
      <c r="E98" s="55">
        <v>40370</v>
      </c>
      <c r="F98" s="281">
        <v>40370</v>
      </c>
      <c r="G98" s="34" t="s">
        <v>198</v>
      </c>
      <c r="H98" s="280">
        <v>45239</v>
      </c>
    </row>
    <row r="99" spans="1:8" ht="21.5" thickBot="1">
      <c r="A99" s="50" t="s">
        <v>253</v>
      </c>
      <c r="B99" s="50">
        <v>66</v>
      </c>
      <c r="C99" s="50" t="s">
        <v>162</v>
      </c>
      <c r="D99" s="54" t="s">
        <v>181</v>
      </c>
      <c r="E99" s="55">
        <v>132000</v>
      </c>
      <c r="F99" s="281">
        <v>128040</v>
      </c>
      <c r="G99" s="34" t="s">
        <v>188</v>
      </c>
      <c r="H99" s="280">
        <v>45239</v>
      </c>
    </row>
    <row r="100" spans="1:8" ht="21.5" thickBot="1">
      <c r="A100" s="50" t="s">
        <v>253</v>
      </c>
      <c r="B100" s="50">
        <v>68</v>
      </c>
      <c r="C100" s="50" t="s">
        <v>157</v>
      </c>
      <c r="D100" s="54" t="s">
        <v>181</v>
      </c>
      <c r="E100" s="55">
        <v>67350</v>
      </c>
      <c r="F100" s="281">
        <v>65329.5</v>
      </c>
      <c r="G100" s="34" t="s">
        <v>190</v>
      </c>
      <c r="H100" s="280" t="s">
        <v>191</v>
      </c>
    </row>
    <row r="101" spans="1:8" ht="21.5" thickBot="1">
      <c r="A101" s="50" t="s">
        <v>253</v>
      </c>
      <c r="B101" s="50">
        <v>69</v>
      </c>
      <c r="C101" s="50" t="s">
        <v>158</v>
      </c>
      <c r="D101" s="54" t="s">
        <v>181</v>
      </c>
      <c r="E101" s="55">
        <v>60000</v>
      </c>
      <c r="F101" s="281">
        <v>58200</v>
      </c>
      <c r="G101" s="34" t="s">
        <v>190</v>
      </c>
      <c r="H101" s="280">
        <v>45250</v>
      </c>
    </row>
    <row r="102" spans="1:8" ht="21.5" thickBot="1">
      <c r="A102" s="50" t="s">
        <v>253</v>
      </c>
      <c r="B102" s="50">
        <v>70</v>
      </c>
      <c r="C102" s="50" t="s">
        <v>159</v>
      </c>
      <c r="D102" s="54" t="s">
        <v>181</v>
      </c>
      <c r="E102" s="55">
        <v>70000</v>
      </c>
      <c r="F102" s="281">
        <v>70000</v>
      </c>
      <c r="G102" s="34" t="s">
        <v>190</v>
      </c>
      <c r="H102" s="280">
        <v>45250</v>
      </c>
    </row>
    <row r="103" spans="1:8" ht="21.5" thickBot="1">
      <c r="A103" s="50" t="s">
        <v>253</v>
      </c>
      <c r="B103" s="50">
        <v>71</v>
      </c>
      <c r="C103" s="50" t="s">
        <v>160</v>
      </c>
      <c r="D103" s="54" t="s">
        <v>181</v>
      </c>
      <c r="E103" s="55">
        <v>99110</v>
      </c>
      <c r="F103" s="281">
        <v>99110</v>
      </c>
      <c r="G103" s="34" t="s">
        <v>190</v>
      </c>
      <c r="H103" s="280">
        <v>45250</v>
      </c>
    </row>
    <row r="104" spans="1:8" ht="21.5" thickBot="1">
      <c r="A104" s="50" t="s">
        <v>253</v>
      </c>
      <c r="B104" s="50">
        <v>72</v>
      </c>
      <c r="C104" s="50" t="s">
        <v>161</v>
      </c>
      <c r="D104" s="54" t="s">
        <v>181</v>
      </c>
      <c r="E104" s="55">
        <v>103550</v>
      </c>
      <c r="F104" s="281">
        <v>100443.5</v>
      </c>
      <c r="G104" s="34" t="s">
        <v>190</v>
      </c>
      <c r="H104" s="280">
        <v>45250</v>
      </c>
    </row>
    <row r="105" spans="1:8" ht="42.5" thickBot="1">
      <c r="A105" s="50" t="s">
        <v>248</v>
      </c>
      <c r="B105" s="169">
        <v>7091</v>
      </c>
      <c r="C105" s="169">
        <v>23477</v>
      </c>
      <c r="D105" s="191" t="s">
        <v>210</v>
      </c>
      <c r="E105" s="191" t="s">
        <v>181</v>
      </c>
      <c r="F105" s="281">
        <v>15802.27</v>
      </c>
      <c r="G105" s="56" t="s">
        <v>207</v>
      </c>
      <c r="H105" s="280">
        <v>45253</v>
      </c>
    </row>
    <row r="106" spans="1:8" ht="42.5" thickBot="1">
      <c r="A106" s="50" t="s">
        <v>248</v>
      </c>
      <c r="B106" s="169">
        <v>7091</v>
      </c>
      <c r="C106" s="169">
        <v>23473</v>
      </c>
      <c r="D106" s="191" t="s">
        <v>208</v>
      </c>
      <c r="E106" s="191" t="s">
        <v>181</v>
      </c>
      <c r="F106" s="281">
        <v>15802.27</v>
      </c>
      <c r="G106" s="56" t="s">
        <v>207</v>
      </c>
      <c r="H106" s="280">
        <v>45253</v>
      </c>
    </row>
    <row r="107" spans="1:8" ht="42.5" thickBot="1">
      <c r="A107" s="50" t="s">
        <v>248</v>
      </c>
      <c r="B107" s="169">
        <v>7091</v>
      </c>
      <c r="C107" s="169">
        <v>23475</v>
      </c>
      <c r="D107" s="191" t="s">
        <v>206</v>
      </c>
      <c r="E107" s="191" t="s">
        <v>181</v>
      </c>
      <c r="F107" s="281">
        <v>15802.27</v>
      </c>
      <c r="G107" s="56" t="s">
        <v>207</v>
      </c>
      <c r="H107" s="280">
        <v>45253</v>
      </c>
    </row>
    <row r="108" spans="1:8" ht="42.5" thickBot="1">
      <c r="A108" s="50" t="s">
        <v>248</v>
      </c>
      <c r="B108" s="169">
        <v>7091</v>
      </c>
      <c r="C108" s="169">
        <v>23479</v>
      </c>
      <c r="D108" s="191" t="s">
        <v>210</v>
      </c>
      <c r="E108" s="191" t="s">
        <v>181</v>
      </c>
      <c r="F108" s="281">
        <v>19400</v>
      </c>
      <c r="G108" s="56" t="s">
        <v>207</v>
      </c>
      <c r="H108" s="280">
        <v>45253</v>
      </c>
    </row>
    <row r="109" spans="1:8" ht="21.5" thickBot="1">
      <c r="A109" s="50" t="s">
        <v>248</v>
      </c>
      <c r="B109" s="169">
        <v>7091</v>
      </c>
      <c r="C109" s="169">
        <v>23476</v>
      </c>
      <c r="D109" s="191" t="s">
        <v>209</v>
      </c>
      <c r="E109" s="191" t="s">
        <v>181</v>
      </c>
      <c r="F109" s="281">
        <v>24253</v>
      </c>
      <c r="G109" s="56" t="s">
        <v>207</v>
      </c>
      <c r="H109" s="280">
        <v>45253</v>
      </c>
    </row>
    <row r="110" spans="1:8" ht="42.5" thickBot="1">
      <c r="A110" s="50" t="s">
        <v>248</v>
      </c>
      <c r="B110" s="169">
        <v>7091</v>
      </c>
      <c r="C110" s="169">
        <v>23478</v>
      </c>
      <c r="D110" s="191" t="s">
        <v>212</v>
      </c>
      <c r="E110" s="191" t="s">
        <v>181</v>
      </c>
      <c r="F110" s="281">
        <v>39382</v>
      </c>
      <c r="G110" s="56" t="s">
        <v>207</v>
      </c>
      <c r="H110" s="280">
        <v>45253</v>
      </c>
    </row>
    <row r="111" spans="1:8" ht="21.5" thickBot="1">
      <c r="A111" s="50" t="s">
        <v>248</v>
      </c>
      <c r="B111" s="169">
        <v>7103</v>
      </c>
      <c r="C111" s="169">
        <v>23463</v>
      </c>
      <c r="D111" s="191" t="s">
        <v>214</v>
      </c>
      <c r="E111" s="191" t="s">
        <v>181</v>
      </c>
      <c r="F111" s="281">
        <v>88292.31</v>
      </c>
      <c r="G111" s="56" t="s">
        <v>207</v>
      </c>
      <c r="H111" s="280">
        <v>45253</v>
      </c>
    </row>
    <row r="112" spans="1:8" ht="42.5" thickBot="1">
      <c r="A112" s="50" t="s">
        <v>248</v>
      </c>
      <c r="B112" s="169">
        <v>7103</v>
      </c>
      <c r="C112" s="169">
        <v>23461</v>
      </c>
      <c r="D112" s="191" t="s">
        <v>208</v>
      </c>
      <c r="E112" s="191" t="s">
        <v>181</v>
      </c>
      <c r="F112" s="281">
        <v>116303.97</v>
      </c>
      <c r="G112" s="56" t="s">
        <v>207</v>
      </c>
      <c r="H112" s="280">
        <v>45253</v>
      </c>
    </row>
    <row r="113" spans="1:8" ht="42.5" thickBot="1">
      <c r="A113" s="50" t="s">
        <v>248</v>
      </c>
      <c r="B113" s="169">
        <v>7103</v>
      </c>
      <c r="C113" s="169">
        <v>23458</v>
      </c>
      <c r="D113" s="191" t="s">
        <v>206</v>
      </c>
      <c r="E113" s="191" t="s">
        <v>181</v>
      </c>
      <c r="F113" s="281">
        <v>116303.97</v>
      </c>
      <c r="G113" s="56" t="s">
        <v>207</v>
      </c>
      <c r="H113" s="280">
        <v>45253</v>
      </c>
    </row>
    <row r="114" spans="1:8" ht="42.5" thickBot="1">
      <c r="A114" s="50" t="s">
        <v>248</v>
      </c>
      <c r="B114" s="169">
        <v>7103</v>
      </c>
      <c r="C114" s="169">
        <v>23465</v>
      </c>
      <c r="D114" s="191" t="s">
        <v>213</v>
      </c>
      <c r="E114" s="191" t="s">
        <v>181</v>
      </c>
      <c r="F114" s="281">
        <v>120597.19</v>
      </c>
      <c r="G114" s="56" t="s">
        <v>207</v>
      </c>
      <c r="H114" s="280">
        <v>45253</v>
      </c>
    </row>
    <row r="115" spans="1:8" ht="21.5" thickBot="1">
      <c r="A115" s="50" t="s">
        <v>248</v>
      </c>
      <c r="B115" s="169">
        <v>6654</v>
      </c>
      <c r="C115" s="169">
        <v>23850</v>
      </c>
      <c r="D115" s="191" t="s">
        <v>214</v>
      </c>
      <c r="E115" s="191" t="s">
        <v>181</v>
      </c>
      <c r="F115" s="281">
        <v>18356</v>
      </c>
      <c r="G115" s="56" t="s">
        <v>217</v>
      </c>
      <c r="H115" s="280">
        <v>45253</v>
      </c>
    </row>
    <row r="116" spans="1:8" ht="21.5" thickBot="1">
      <c r="A116" s="50" t="s">
        <v>248</v>
      </c>
      <c r="B116" s="169">
        <v>6654</v>
      </c>
      <c r="C116" s="169">
        <v>23844</v>
      </c>
      <c r="D116" s="191" t="s">
        <v>214</v>
      </c>
      <c r="E116" s="191" t="s">
        <v>181</v>
      </c>
      <c r="F116" s="281">
        <v>41004</v>
      </c>
      <c r="G116" s="56" t="s">
        <v>217</v>
      </c>
      <c r="H116" s="280">
        <v>45253</v>
      </c>
    </row>
    <row r="117" spans="1:8" ht="21.5" thickBot="1">
      <c r="A117" s="50" t="s">
        <v>248</v>
      </c>
      <c r="B117" s="169">
        <v>7091</v>
      </c>
      <c r="C117" s="169">
        <v>23531</v>
      </c>
      <c r="D117" s="191" t="s">
        <v>211</v>
      </c>
      <c r="E117" s="191" t="s">
        <v>215</v>
      </c>
      <c r="F117" s="281">
        <v>28800</v>
      </c>
      <c r="G117" s="56" t="s">
        <v>200</v>
      </c>
      <c r="H117" s="280">
        <v>45253</v>
      </c>
    </row>
    <row r="118" spans="1:8" ht="21.5" thickBot="1">
      <c r="A118" s="50" t="s">
        <v>205</v>
      </c>
      <c r="B118" s="50">
        <v>14</v>
      </c>
      <c r="C118" s="50" t="s">
        <v>162</v>
      </c>
      <c r="D118" s="54" t="s">
        <v>203</v>
      </c>
      <c r="E118" s="55">
        <v>273412</v>
      </c>
      <c r="F118" s="281">
        <v>228629</v>
      </c>
      <c r="G118" s="34" t="s">
        <v>204</v>
      </c>
      <c r="H118" s="280">
        <v>45253</v>
      </c>
    </row>
    <row r="119" spans="1:8" ht="42.5" thickBot="1">
      <c r="A119" s="50" t="s">
        <v>248</v>
      </c>
      <c r="B119" s="169">
        <v>6798</v>
      </c>
      <c r="C119" s="169">
        <v>26175</v>
      </c>
      <c r="D119" s="191" t="s">
        <v>213</v>
      </c>
      <c r="E119" s="191" t="s">
        <v>181</v>
      </c>
      <c r="F119" s="281">
        <v>24250</v>
      </c>
      <c r="G119" s="56" t="s">
        <v>230</v>
      </c>
      <c r="H119" s="280">
        <v>45267</v>
      </c>
    </row>
    <row r="120" spans="1:8" ht="42.5" thickBot="1">
      <c r="A120" s="50" t="s">
        <v>248</v>
      </c>
      <c r="B120" s="169">
        <v>6797</v>
      </c>
      <c r="C120" s="169">
        <v>26173</v>
      </c>
      <c r="D120" s="191" t="s">
        <v>208</v>
      </c>
      <c r="E120" s="191" t="s">
        <v>181</v>
      </c>
      <c r="F120" s="281">
        <v>33950</v>
      </c>
      <c r="G120" s="56" t="s">
        <v>230</v>
      </c>
      <c r="H120" s="280">
        <v>45267</v>
      </c>
    </row>
    <row r="121" spans="1:8" ht="21.5" thickBot="1">
      <c r="A121" s="50" t="s">
        <v>248</v>
      </c>
      <c r="B121" s="169">
        <v>7444</v>
      </c>
      <c r="C121" s="169">
        <v>27904</v>
      </c>
      <c r="D121" s="191" t="s">
        <v>220</v>
      </c>
      <c r="E121" s="191" t="s">
        <v>221</v>
      </c>
      <c r="F121" s="281">
        <v>82800</v>
      </c>
      <c r="G121" s="56" t="s">
        <v>228</v>
      </c>
      <c r="H121" s="280">
        <v>45279</v>
      </c>
    </row>
    <row r="122" spans="1:8" ht="63.5" thickBot="1">
      <c r="A122" s="50" t="s">
        <v>248</v>
      </c>
      <c r="B122" s="169">
        <v>7375</v>
      </c>
      <c r="C122" s="169">
        <v>27914</v>
      </c>
      <c r="D122" s="191" t="s">
        <v>218</v>
      </c>
      <c r="E122" s="191" t="s">
        <v>172</v>
      </c>
      <c r="F122" s="281">
        <v>99000</v>
      </c>
      <c r="G122" s="56" t="s">
        <v>229</v>
      </c>
      <c r="H122" s="280">
        <v>45279</v>
      </c>
    </row>
    <row r="123" spans="1:8" ht="21.5" thickBot="1">
      <c r="A123" s="50" t="s">
        <v>253</v>
      </c>
      <c r="B123" s="50">
        <v>73</v>
      </c>
      <c r="C123" s="50" t="s">
        <v>164</v>
      </c>
      <c r="D123" s="54" t="s">
        <v>192</v>
      </c>
      <c r="E123" s="55">
        <v>1976233</v>
      </c>
      <c r="F123" s="281">
        <v>1652539.6637931033</v>
      </c>
      <c r="G123" s="34" t="s">
        <v>247</v>
      </c>
      <c r="H123" s="280">
        <v>45245</v>
      </c>
    </row>
  </sheetData>
  <autoFilter ref="A1:H123">
    <sortState ref="A2:H123">
      <sortCondition ref="G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showGridLines="0" topLeftCell="A33" zoomScaleNormal="100" workbookViewId="0">
      <selection activeCell="A45" sqref="A45"/>
    </sheetView>
  </sheetViews>
  <sheetFormatPr baseColWidth="10" defaultColWidth="11.453125" defaultRowHeight="14.5"/>
  <cols>
    <col min="1" max="1" width="10.453125" style="5" customWidth="1"/>
    <col min="2" max="2" width="11.453125" style="5"/>
    <col min="3" max="3" width="10.453125" style="5" customWidth="1"/>
    <col min="4" max="4" width="9" style="5" customWidth="1"/>
    <col min="5" max="5" width="11.453125" style="203"/>
    <col min="6" max="6" width="16.7265625" style="5" customWidth="1"/>
    <col min="7" max="7" width="11.453125" style="5" customWidth="1"/>
    <col min="8" max="8" width="22.26953125" style="5" customWidth="1"/>
    <col min="9" max="9" width="14.7265625" style="5" customWidth="1"/>
    <col min="10" max="10" width="30.1796875" style="5" customWidth="1"/>
    <col min="11" max="16384" width="11.453125" style="5"/>
  </cols>
  <sheetData>
    <row r="1" spans="1:10" ht="40.5" customHeight="1">
      <c r="A1" s="375" t="s">
        <v>17</v>
      </c>
      <c r="B1" s="375"/>
      <c r="C1" s="375"/>
      <c r="D1" s="375"/>
      <c r="E1" s="375"/>
      <c r="F1" s="375"/>
      <c r="G1" s="379" t="s">
        <v>18</v>
      </c>
      <c r="H1" s="379"/>
      <c r="I1" s="379"/>
      <c r="J1" s="379"/>
    </row>
    <row r="2" spans="1:10" ht="20.25" customHeight="1">
      <c r="A2" s="376" t="s">
        <v>19</v>
      </c>
      <c r="B2" s="376"/>
      <c r="C2" s="376"/>
      <c r="D2" s="376"/>
      <c r="E2" s="376"/>
      <c r="F2" s="376"/>
      <c r="G2" s="219" t="s">
        <v>20</v>
      </c>
      <c r="H2" s="369" t="s">
        <v>40</v>
      </c>
      <c r="I2" s="369"/>
      <c r="J2" s="369"/>
    </row>
    <row r="3" spans="1:10" s="111" customFormat="1" ht="30" customHeight="1">
      <c r="A3" s="377" t="s">
        <v>51</v>
      </c>
      <c r="B3" s="378"/>
      <c r="C3" s="378"/>
      <c r="D3" s="378"/>
      <c r="E3" s="378"/>
      <c r="F3" s="378"/>
      <c r="G3" s="380" t="s">
        <v>50</v>
      </c>
      <c r="H3" s="380"/>
      <c r="I3" s="380"/>
      <c r="J3" s="380"/>
    </row>
    <row r="4" spans="1:10" ht="19.5" customHeight="1">
      <c r="A4" s="377" t="s">
        <v>1</v>
      </c>
      <c r="B4" s="377"/>
      <c r="C4" s="377"/>
      <c r="D4" s="377"/>
      <c r="E4" s="377"/>
      <c r="F4" s="377"/>
      <c r="G4" s="220" t="s">
        <v>21</v>
      </c>
      <c r="H4" s="380" t="s">
        <v>22</v>
      </c>
      <c r="I4" s="380"/>
      <c r="J4" s="380"/>
    </row>
    <row r="5" spans="1:10" ht="45.75" customHeight="1">
      <c r="A5" s="377"/>
      <c r="B5" s="377"/>
      <c r="C5" s="377"/>
      <c r="D5" s="377"/>
      <c r="E5" s="377"/>
      <c r="F5" s="377"/>
      <c r="G5" s="221"/>
      <c r="H5" s="380"/>
      <c r="I5" s="380"/>
      <c r="J5" s="380"/>
    </row>
    <row r="6" spans="1:10" ht="30.75" customHeight="1">
      <c r="A6" s="218" t="s">
        <v>2</v>
      </c>
      <c r="B6" s="218"/>
      <c r="C6" s="218"/>
      <c r="D6" s="218"/>
      <c r="E6" s="218"/>
      <c r="F6" s="218"/>
      <c r="G6" s="220"/>
      <c r="H6" s="371" t="s">
        <v>23</v>
      </c>
      <c r="I6" s="371"/>
      <c r="J6" s="371"/>
    </row>
    <row r="7" spans="1:10" ht="21" customHeight="1">
      <c r="A7" s="94"/>
      <c r="B7" s="94"/>
      <c r="C7" s="94"/>
      <c r="D7" s="94"/>
      <c r="E7" s="94"/>
      <c r="F7" s="94"/>
      <c r="G7" s="95"/>
      <c r="H7" s="95"/>
      <c r="I7" s="96"/>
      <c r="J7" s="96"/>
    </row>
    <row r="8" spans="1:10" ht="9.75" customHeight="1">
      <c r="A8" s="94"/>
      <c r="B8" s="94"/>
      <c r="C8" s="94"/>
      <c r="D8" s="94"/>
      <c r="E8" s="94"/>
      <c r="F8" s="94"/>
      <c r="G8" s="95"/>
      <c r="H8" s="95"/>
      <c r="I8" s="96"/>
      <c r="J8" s="96"/>
    </row>
    <row r="9" spans="1:10" ht="36" customHeight="1">
      <c r="A9" s="372" t="s">
        <v>24</v>
      </c>
      <c r="B9" s="372"/>
      <c r="C9" s="372"/>
      <c r="D9" s="372"/>
      <c r="E9" s="372"/>
      <c r="F9" s="372"/>
      <c r="G9" s="372"/>
      <c r="H9" s="372"/>
      <c r="I9" s="372"/>
      <c r="J9" s="372"/>
    </row>
    <row r="10" spans="1:10" ht="12.75" customHeight="1">
      <c r="A10" s="94"/>
      <c r="B10" s="94"/>
      <c r="C10" s="94"/>
      <c r="D10" s="94"/>
      <c r="E10" s="94"/>
      <c r="F10" s="94"/>
      <c r="G10" s="95"/>
      <c r="H10" s="95"/>
      <c r="I10" s="96"/>
      <c r="J10" s="96"/>
    </row>
    <row r="11" spans="1:10" ht="22.5" customHeight="1">
      <c r="A11" s="373" t="s">
        <v>279</v>
      </c>
      <c r="B11" s="373"/>
      <c r="C11" s="373"/>
      <c r="D11" s="373"/>
      <c r="E11" s="373"/>
      <c r="F11" s="373"/>
      <c r="G11" s="373"/>
      <c r="H11" s="373"/>
      <c r="I11" s="373"/>
      <c r="J11" s="373"/>
    </row>
    <row r="12" spans="1:10" ht="24" customHeight="1">
      <c r="A12" s="373"/>
      <c r="B12" s="373"/>
      <c r="C12" s="373"/>
      <c r="D12" s="373"/>
      <c r="E12" s="373"/>
      <c r="F12" s="373"/>
      <c r="G12" s="373"/>
      <c r="H12" s="373"/>
      <c r="I12" s="373"/>
      <c r="J12" s="373"/>
    </row>
    <row r="13" spans="1:10" ht="32.25" customHeight="1">
      <c r="A13" s="373"/>
      <c r="B13" s="373"/>
      <c r="C13" s="373"/>
      <c r="D13" s="373"/>
      <c r="E13" s="373"/>
      <c r="F13" s="373"/>
      <c r="G13" s="373"/>
      <c r="H13" s="373"/>
      <c r="I13" s="373"/>
      <c r="J13" s="373"/>
    </row>
    <row r="14" spans="1:10" ht="30.75" customHeight="1">
      <c r="A14" s="373"/>
      <c r="B14" s="373"/>
      <c r="C14" s="373"/>
      <c r="D14" s="373"/>
      <c r="E14" s="373"/>
      <c r="F14" s="373"/>
      <c r="G14" s="373"/>
      <c r="H14" s="373"/>
      <c r="I14" s="373"/>
      <c r="J14" s="373"/>
    </row>
    <row r="15" spans="1:10" ht="18" customHeight="1">
      <c r="A15" s="373"/>
      <c r="B15" s="373"/>
      <c r="C15" s="373"/>
      <c r="D15" s="373"/>
      <c r="E15" s="373"/>
      <c r="F15" s="373"/>
      <c r="G15" s="373"/>
      <c r="H15" s="373"/>
      <c r="I15" s="373"/>
      <c r="J15" s="373"/>
    </row>
    <row r="16" spans="1:10" ht="57.75" customHeight="1">
      <c r="A16" s="373"/>
      <c r="B16" s="373"/>
      <c r="C16" s="373"/>
      <c r="D16" s="373"/>
      <c r="E16" s="373"/>
      <c r="F16" s="373"/>
      <c r="G16" s="373"/>
      <c r="H16" s="373"/>
      <c r="I16" s="373"/>
      <c r="J16" s="373"/>
    </row>
    <row r="17" spans="1:10" s="259" customFormat="1" ht="25.5" customHeight="1">
      <c r="A17" s="258" t="s">
        <v>25</v>
      </c>
      <c r="E17" s="260"/>
    </row>
    <row r="18" spans="1:10" s="259" customFormat="1" ht="11.25" customHeight="1">
      <c r="A18" s="258"/>
      <c r="E18" s="260"/>
    </row>
    <row r="19" spans="1:10" s="259" customFormat="1" ht="26.25" customHeight="1">
      <c r="A19" s="259" t="s">
        <v>267</v>
      </c>
      <c r="E19" s="260"/>
      <c r="H19" s="261"/>
      <c r="I19" s="374">
        <v>4096909.1900000013</v>
      </c>
      <c r="J19" s="374"/>
    </row>
    <row r="20" spans="1:10" s="259" customFormat="1" ht="26.25" customHeight="1">
      <c r="A20" s="258" t="s">
        <v>268</v>
      </c>
      <c r="E20" s="260"/>
      <c r="H20" s="261"/>
      <c r="I20" s="366">
        <f>+'RECETTES  QUITT '!D18</f>
        <v>0</v>
      </c>
      <c r="J20" s="366"/>
    </row>
    <row r="21" spans="1:10" ht="26.25" customHeight="1">
      <c r="A21" s="170" t="s">
        <v>94</v>
      </c>
      <c r="B21" s="170"/>
      <c r="C21" s="170"/>
      <c r="D21" s="170"/>
      <c r="E21" s="170"/>
      <c r="F21" s="170"/>
      <c r="G21" s="171"/>
      <c r="H21" s="171"/>
      <c r="I21" s="370">
        <f>+I20+I19</f>
        <v>4096909.1900000013</v>
      </c>
      <c r="J21" s="370"/>
    </row>
    <row r="22" spans="1:10" s="259" customFormat="1" ht="10.5" customHeight="1">
      <c r="A22" s="258"/>
      <c r="B22" s="258"/>
      <c r="C22" s="258"/>
      <c r="D22" s="258"/>
      <c r="E22" s="262"/>
      <c r="F22" s="258"/>
      <c r="G22" s="258"/>
      <c r="H22" s="258"/>
      <c r="I22" s="366"/>
      <c r="J22" s="366"/>
    </row>
    <row r="23" spans="1:10" s="259" customFormat="1" ht="24.75" customHeight="1">
      <c r="A23" s="258" t="s">
        <v>127</v>
      </c>
      <c r="B23" s="258"/>
      <c r="C23" s="258"/>
      <c r="D23" s="258"/>
      <c r="E23" s="262"/>
      <c r="F23" s="258"/>
      <c r="G23" s="258"/>
      <c r="H23" s="258"/>
      <c r="I23" s="366">
        <f>+'DEP ADEL BAGROU'!E48</f>
        <v>2405680</v>
      </c>
      <c r="J23" s="366"/>
    </row>
    <row r="24" spans="1:10" s="259" customFormat="1" ht="24.75" customHeight="1">
      <c r="A24" s="258" t="s">
        <v>128</v>
      </c>
      <c r="B24" s="258"/>
      <c r="C24" s="258"/>
      <c r="D24" s="258"/>
      <c r="E24" s="262"/>
      <c r="F24" s="258"/>
      <c r="G24" s="258"/>
      <c r="H24" s="258"/>
      <c r="I24" s="366">
        <f>+'DEP El MASGOULE'!E23</f>
        <v>120600</v>
      </c>
      <c r="J24" s="366"/>
    </row>
    <row r="25" spans="1:10" s="259" customFormat="1" ht="24.75" customHeight="1">
      <c r="A25" s="258" t="s">
        <v>135</v>
      </c>
      <c r="B25" s="258"/>
      <c r="C25" s="258"/>
      <c r="D25" s="258"/>
      <c r="E25" s="262"/>
      <c r="F25" s="258"/>
      <c r="G25" s="258"/>
      <c r="H25" s="258"/>
      <c r="I25" s="366">
        <f>+'DEP SEIVANE'!E23</f>
        <v>98600</v>
      </c>
      <c r="J25" s="366"/>
    </row>
    <row r="26" spans="1:10" s="259" customFormat="1" ht="24.75" customHeight="1">
      <c r="A26" s="258" t="s">
        <v>69</v>
      </c>
      <c r="B26" s="258"/>
      <c r="C26" s="258"/>
      <c r="D26" s="258"/>
      <c r="E26" s="262"/>
      <c r="F26" s="258"/>
      <c r="G26" s="258"/>
      <c r="H26" s="258"/>
      <c r="I26" s="366">
        <f>+'DEPEN NOTIF DRI'!E50</f>
        <v>0</v>
      </c>
      <c r="J26" s="366"/>
    </row>
    <row r="27" spans="1:10" s="259" customFormat="1" ht="24.75" customHeight="1">
      <c r="A27" s="258" t="s">
        <v>28</v>
      </c>
      <c r="B27" s="258"/>
      <c r="C27" s="258"/>
      <c r="D27" s="258"/>
      <c r="E27" s="262"/>
      <c r="F27" s="258"/>
      <c r="G27" s="258"/>
      <c r="H27" s="258"/>
      <c r="I27" s="366">
        <f>+'DEG FONDS'!D18</f>
        <v>0</v>
      </c>
      <c r="J27" s="366"/>
    </row>
    <row r="28" spans="1:10" s="259" customFormat="1" ht="24.75" customHeight="1">
      <c r="A28" s="258" t="s">
        <v>29</v>
      </c>
      <c r="B28" s="258"/>
      <c r="C28" s="258"/>
      <c r="D28" s="258"/>
      <c r="E28" s="262"/>
      <c r="F28" s="258"/>
      <c r="G28" s="258"/>
      <c r="H28" s="258"/>
      <c r="I28" s="366">
        <f>+'FRAIS BAN '!C16</f>
        <v>0</v>
      </c>
      <c r="J28" s="366"/>
    </row>
    <row r="29" spans="1:10" s="259" customFormat="1" ht="24.75" customHeight="1">
      <c r="A29" s="258" t="s">
        <v>123</v>
      </c>
      <c r="B29" s="258"/>
      <c r="C29" s="258"/>
      <c r="D29" s="258"/>
      <c r="E29" s="262"/>
      <c r="F29" s="258"/>
      <c r="G29" s="258"/>
      <c r="H29" s="258"/>
      <c r="I29" s="366">
        <f>+PENSIONS!C19</f>
        <v>0</v>
      </c>
      <c r="J29" s="366"/>
    </row>
    <row r="30" spans="1:10" ht="26">
      <c r="A30" s="170" t="s">
        <v>269</v>
      </c>
      <c r="B30" s="170"/>
      <c r="C30" s="170"/>
      <c r="D30" s="170"/>
      <c r="E30" s="170"/>
      <c r="F30" s="170"/>
      <c r="G30" s="171"/>
      <c r="H30" s="171"/>
      <c r="I30" s="368">
        <f>SUM(I23:J29)</f>
        <v>2624880</v>
      </c>
      <c r="J30" s="368"/>
    </row>
    <row r="31" spans="1:10" ht="14.25" customHeight="1">
      <c r="A31" s="99"/>
      <c r="B31" s="99"/>
      <c r="C31" s="99"/>
      <c r="D31" s="99"/>
      <c r="E31" s="100"/>
      <c r="F31" s="99"/>
      <c r="G31" s="99"/>
      <c r="H31" s="99"/>
      <c r="I31" s="166"/>
      <c r="J31" s="204"/>
    </row>
    <row r="32" spans="1:10" ht="24" customHeight="1">
      <c r="A32" s="172" t="s">
        <v>111</v>
      </c>
      <c r="B32" s="172"/>
      <c r="C32" s="172"/>
      <c r="D32" s="172"/>
      <c r="E32" s="172"/>
      <c r="F32" s="172"/>
      <c r="G32" s="172"/>
      <c r="H32" s="172"/>
      <c r="I32" s="367">
        <f>+I21-I30</f>
        <v>1472029.1900000013</v>
      </c>
      <c r="J32" s="367"/>
    </row>
    <row r="33" spans="1:12" ht="13.5" customHeight="1">
      <c r="A33" s="103"/>
      <c r="B33" s="103"/>
      <c r="C33" s="103"/>
      <c r="D33" s="103"/>
      <c r="E33" s="104"/>
      <c r="F33" s="103"/>
      <c r="G33" s="103"/>
      <c r="H33" s="103"/>
      <c r="I33" s="104"/>
      <c r="J33" s="97"/>
    </row>
    <row r="34" spans="1:12" ht="24.75" customHeight="1">
      <c r="A34" s="101" t="s">
        <v>27</v>
      </c>
      <c r="B34" s="101"/>
      <c r="C34" s="101"/>
      <c r="D34" s="101"/>
      <c r="E34" s="105"/>
      <c r="F34" s="101"/>
      <c r="G34" s="101"/>
      <c r="H34" s="103"/>
      <c r="I34" s="104"/>
      <c r="J34" s="98"/>
    </row>
    <row r="35" spans="1:12" s="19" customFormat="1" ht="24" customHeight="1">
      <c r="A35" s="263" t="s">
        <v>30</v>
      </c>
      <c r="B35" s="263"/>
      <c r="C35" s="263"/>
      <c r="D35" s="263"/>
      <c r="E35" s="263"/>
      <c r="F35" s="263"/>
      <c r="G35" s="263"/>
      <c r="I35" s="384"/>
      <c r="J35" s="384"/>
    </row>
    <row r="36" spans="1:12" s="106" customFormat="1" ht="24" customHeight="1">
      <c r="A36" s="264" t="s">
        <v>250</v>
      </c>
      <c r="B36" s="264"/>
      <c r="C36" s="264"/>
      <c r="D36" s="264"/>
      <c r="E36" s="264"/>
      <c r="F36" s="264"/>
      <c r="G36" s="264"/>
      <c r="I36" s="384"/>
      <c r="J36" s="384"/>
      <c r="K36" s="19"/>
    </row>
    <row r="37" spans="1:12" s="106" customFormat="1" ht="24" customHeight="1">
      <c r="A37" s="264" t="s">
        <v>251</v>
      </c>
      <c r="B37" s="264"/>
      <c r="C37" s="264"/>
      <c r="D37" s="264"/>
      <c r="E37" s="264"/>
      <c r="F37" s="264"/>
      <c r="G37" s="264"/>
      <c r="I37" s="384"/>
      <c r="J37" s="384"/>
      <c r="K37" s="381"/>
      <c r="L37" s="381"/>
    </row>
    <row r="38" spans="1:12" s="106" customFormat="1" ht="24" customHeight="1">
      <c r="A38" s="386" t="s">
        <v>31</v>
      </c>
      <c r="B38" s="386"/>
      <c r="C38" s="386"/>
      <c r="D38" s="386"/>
      <c r="E38" s="386"/>
      <c r="F38" s="386"/>
      <c r="G38" s="386"/>
      <c r="I38" s="384">
        <f>SUM(I35:J37)</f>
        <v>0</v>
      </c>
      <c r="J38" s="384"/>
    </row>
    <row r="39" spans="1:12" s="11" customFormat="1" ht="15" customHeight="1">
      <c r="A39" s="385" t="s">
        <v>254</v>
      </c>
      <c r="B39" s="385"/>
      <c r="C39" s="385"/>
      <c r="D39" s="385"/>
      <c r="E39" s="385"/>
      <c r="F39" s="385"/>
      <c r="G39" s="385"/>
      <c r="H39" s="256"/>
      <c r="I39" s="387">
        <f>+I32-I38</f>
        <v>1472029.1900000013</v>
      </c>
      <c r="J39" s="387">
        <f>+I32-I38</f>
        <v>1472029.1900000013</v>
      </c>
    </row>
    <row r="40" spans="1:12" s="11" customFormat="1" ht="15" customHeight="1">
      <c r="A40" s="107"/>
      <c r="B40" s="107"/>
      <c r="C40" s="107"/>
      <c r="D40" s="107"/>
      <c r="E40" s="107"/>
      <c r="F40" s="107"/>
      <c r="G40" s="107"/>
      <c r="H40" s="256"/>
      <c r="I40" s="279"/>
      <c r="J40" s="279"/>
    </row>
    <row r="41" spans="1:12" s="111" customFormat="1" ht="20.25" customHeight="1">
      <c r="A41" s="264" t="s">
        <v>62</v>
      </c>
      <c r="B41" s="106"/>
      <c r="C41" s="106"/>
      <c r="D41" s="106"/>
      <c r="E41" s="106"/>
      <c r="F41" s="106"/>
      <c r="G41" s="106"/>
      <c r="H41" s="106"/>
      <c r="I41" s="106"/>
      <c r="J41" s="106"/>
    </row>
    <row r="42" spans="1:12" s="111" customFormat="1" ht="20.25" customHeight="1">
      <c r="A42" s="287"/>
      <c r="B42" s="106"/>
      <c r="C42" s="106"/>
      <c r="D42" s="106"/>
      <c r="E42" s="106"/>
      <c r="F42" s="106"/>
      <c r="G42" s="106"/>
      <c r="H42" s="106"/>
      <c r="I42" s="106"/>
      <c r="J42" s="106"/>
    </row>
    <row r="43" spans="1:12" ht="25" customHeight="1">
      <c r="A43" s="19"/>
      <c r="B43" s="19"/>
      <c r="C43" s="19" t="str">
        <f>'RECETTES  QUITT '!A20</f>
        <v>Effectuée le 16/05/2024</v>
      </c>
      <c r="D43" s="19"/>
      <c r="E43" s="19"/>
      <c r="F43" s="19"/>
      <c r="G43" s="19"/>
      <c r="H43" s="19"/>
      <c r="I43" s="19"/>
      <c r="J43" s="19"/>
    </row>
    <row r="44" spans="1:12" s="259" customFormat="1" ht="27.75" customHeight="1">
      <c r="A44" s="382" t="str">
        <f>'RECETTES  QUITT '!A22</f>
        <v>Les Missionnaires</v>
      </c>
      <c r="B44" s="382"/>
      <c r="C44" s="382"/>
      <c r="D44" s="382"/>
      <c r="F44" s="265"/>
      <c r="H44" s="383" t="s">
        <v>83</v>
      </c>
      <c r="I44" s="383"/>
      <c r="J44" s="383"/>
    </row>
    <row r="45" spans="1:12" ht="18.5">
      <c r="A45" s="11"/>
      <c r="B45" s="11"/>
      <c r="C45" s="11"/>
      <c r="D45" s="11"/>
      <c r="E45" s="205"/>
      <c r="F45" s="210"/>
      <c r="G45" s="11"/>
      <c r="H45" s="11"/>
      <c r="I45" s="11"/>
      <c r="J45" s="11"/>
    </row>
    <row r="46" spans="1:12" ht="18.5">
      <c r="A46" s="11"/>
      <c r="B46" s="11"/>
      <c r="C46" s="11"/>
      <c r="D46" s="11"/>
      <c r="E46" s="205"/>
      <c r="F46" s="210"/>
      <c r="G46" s="11"/>
      <c r="H46" s="11"/>
      <c r="I46" s="11"/>
      <c r="J46" s="11"/>
    </row>
    <row r="47" spans="1:12" ht="18.5">
      <c r="A47" s="11"/>
      <c r="B47" s="107"/>
      <c r="C47" s="11"/>
      <c r="D47" s="11"/>
      <c r="E47" s="205"/>
      <c r="F47" s="11"/>
      <c r="G47" s="11"/>
      <c r="H47" s="11"/>
      <c r="I47" s="11"/>
      <c r="J47" s="11"/>
    </row>
    <row r="48" spans="1:12" ht="18.5">
      <c r="A48" s="11"/>
      <c r="B48" s="11"/>
      <c r="C48" s="11"/>
      <c r="D48" s="11"/>
      <c r="E48" s="205"/>
      <c r="F48" s="11"/>
      <c r="G48" s="11"/>
      <c r="H48" s="11"/>
      <c r="I48" s="11"/>
      <c r="J48" s="11"/>
    </row>
    <row r="49" spans="1:10" ht="18.5">
      <c r="A49" s="11"/>
      <c r="B49" s="11"/>
      <c r="C49" s="11"/>
      <c r="D49" s="11"/>
      <c r="E49" s="205"/>
      <c r="F49" s="11"/>
      <c r="G49" s="11"/>
      <c r="H49" s="11"/>
      <c r="I49" s="11"/>
      <c r="J49" s="11"/>
    </row>
    <row r="50" spans="1:10" ht="18.5">
      <c r="A50" s="11"/>
      <c r="B50" s="11"/>
      <c r="C50" s="11"/>
      <c r="D50" s="11"/>
      <c r="E50" s="205"/>
      <c r="F50" s="11"/>
      <c r="G50" s="11"/>
      <c r="H50" s="11"/>
      <c r="I50" s="11"/>
      <c r="J50" s="11"/>
    </row>
    <row r="51" spans="1:10" ht="18.5">
      <c r="A51" s="11"/>
      <c r="B51" s="11"/>
      <c r="C51" s="11"/>
      <c r="D51" s="11"/>
      <c r="E51" s="205"/>
      <c r="F51" s="11"/>
      <c r="G51" s="11"/>
      <c r="H51" s="11"/>
      <c r="I51" s="11"/>
      <c r="J51" s="11"/>
    </row>
    <row r="52" spans="1:10" ht="18.5">
      <c r="A52" s="11"/>
      <c r="B52" s="11"/>
      <c r="C52" s="11"/>
      <c r="D52" s="11"/>
      <c r="E52" s="205"/>
      <c r="F52" s="11"/>
      <c r="G52" s="11"/>
      <c r="H52" s="11"/>
      <c r="I52" s="11"/>
      <c r="J52" s="11"/>
    </row>
    <row r="53" spans="1:10" ht="18.5">
      <c r="A53" s="11"/>
      <c r="B53" s="11"/>
      <c r="C53" s="11"/>
      <c r="D53" s="11"/>
      <c r="E53" s="205"/>
      <c r="F53" s="11"/>
      <c r="G53" s="11"/>
      <c r="H53" s="11"/>
      <c r="I53" s="11"/>
      <c r="J53" s="11"/>
    </row>
    <row r="54" spans="1:10" ht="18.5">
      <c r="A54" s="11"/>
      <c r="B54" s="11"/>
      <c r="C54" s="11"/>
      <c r="D54" s="11"/>
      <c r="E54" s="205"/>
      <c r="F54" s="11"/>
      <c r="G54" s="11"/>
      <c r="H54" s="11"/>
      <c r="I54" s="11"/>
      <c r="J54" s="11"/>
    </row>
    <row r="55" spans="1:10">
      <c r="J55" s="206"/>
    </row>
    <row r="56" spans="1:10">
      <c r="J56" s="206"/>
    </row>
    <row r="57" spans="1:10">
      <c r="J57" s="206"/>
    </row>
    <row r="58" spans="1:10">
      <c r="J58" s="206"/>
    </row>
  </sheetData>
  <mergeCells count="34">
    <mergeCell ref="K37:L37"/>
    <mergeCell ref="I29:J29"/>
    <mergeCell ref="A44:D44"/>
    <mergeCell ref="H44:J44"/>
    <mergeCell ref="I35:J35"/>
    <mergeCell ref="I37:J37"/>
    <mergeCell ref="I38:J38"/>
    <mergeCell ref="I36:J36"/>
    <mergeCell ref="A39:G39"/>
    <mergeCell ref="A38:G38"/>
    <mergeCell ref="I39:J39"/>
    <mergeCell ref="I24:J24"/>
    <mergeCell ref="I25:J25"/>
    <mergeCell ref="A1:F1"/>
    <mergeCell ref="A2:F2"/>
    <mergeCell ref="A3:F3"/>
    <mergeCell ref="A4:F5"/>
    <mergeCell ref="G1:J1"/>
    <mergeCell ref="H4:J5"/>
    <mergeCell ref="G3:J3"/>
    <mergeCell ref="H2:J2"/>
    <mergeCell ref="I23:J23"/>
    <mergeCell ref="I21:J21"/>
    <mergeCell ref="H6:J6"/>
    <mergeCell ref="I22:J22"/>
    <mergeCell ref="A9:J9"/>
    <mergeCell ref="A11:J16"/>
    <mergeCell ref="I19:J19"/>
    <mergeCell ref="I20:J20"/>
    <mergeCell ref="I28:J28"/>
    <mergeCell ref="I32:J32"/>
    <mergeCell ref="I30:J30"/>
    <mergeCell ref="I26:J26"/>
    <mergeCell ref="I27:J27"/>
  </mergeCells>
  <pageMargins left="0.47" right="0.46" top="0.69" bottom="0.49" header="0.48" footer="0.2"/>
  <pageSetup paperSize="9" scale="6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4" workbookViewId="0">
      <selection activeCell="A28" sqref="A28"/>
    </sheetView>
  </sheetViews>
  <sheetFormatPr baseColWidth="10" defaultColWidth="11.453125" defaultRowHeight="13"/>
  <cols>
    <col min="1" max="1" width="15.453125" style="108" customWidth="1"/>
    <col min="2" max="2" width="21.54296875" style="108" customWidth="1"/>
    <col min="3" max="3" width="15.1796875" style="108" customWidth="1"/>
    <col min="4" max="4" width="24.54296875" style="108" customWidth="1"/>
    <col min="5" max="5" width="20" style="108" customWidth="1"/>
    <col min="6" max="6" width="11.81640625" style="108" customWidth="1"/>
    <col min="7" max="7" width="11.453125" style="108"/>
    <col min="8" max="8" width="17.1796875" style="108" bestFit="1" customWidth="1"/>
    <col min="9" max="16384" width="11.453125" style="108"/>
  </cols>
  <sheetData>
    <row r="1" spans="1:7" ht="20.5">
      <c r="A1" s="20" t="s">
        <v>49</v>
      </c>
      <c r="B1" s="222"/>
      <c r="C1" s="223"/>
      <c r="D1" s="222"/>
      <c r="E1" s="224"/>
      <c r="F1" s="6"/>
      <c r="G1" s="4"/>
    </row>
    <row r="2" spans="1:7" ht="20.5">
      <c r="A2" s="20" t="s">
        <v>1</v>
      </c>
      <c r="B2" s="222"/>
      <c r="C2" s="223"/>
      <c r="D2" s="222"/>
      <c r="E2" s="224"/>
      <c r="F2" s="6"/>
      <c r="G2" s="4"/>
    </row>
    <row r="3" spans="1:7" ht="20.5">
      <c r="A3" s="20" t="s">
        <v>2</v>
      </c>
      <c r="B3" s="222"/>
      <c r="C3" s="223"/>
      <c r="D3" s="222"/>
      <c r="E3" s="224"/>
      <c r="F3" s="6"/>
      <c r="G3" s="4"/>
    </row>
    <row r="4" spans="1:7" ht="14.5">
      <c r="A4" s="4"/>
      <c r="B4" s="4"/>
      <c r="C4" s="4"/>
      <c r="D4" s="4"/>
      <c r="E4" s="4"/>
      <c r="F4" s="4"/>
      <c r="G4" s="4"/>
    </row>
    <row r="5" spans="1:7" s="308" customFormat="1" ht="15.5">
      <c r="A5" s="308" t="s">
        <v>270</v>
      </c>
      <c r="B5" s="309"/>
      <c r="C5" s="309"/>
      <c r="D5" s="309"/>
      <c r="E5" s="310"/>
      <c r="F5" s="310"/>
    </row>
    <row r="6" spans="1:7" ht="18.5">
      <c r="B6" s="167"/>
      <c r="C6" s="167"/>
      <c r="D6" s="167"/>
      <c r="E6" s="59"/>
      <c r="F6" s="59"/>
    </row>
    <row r="7" spans="1:7" ht="18.5">
      <c r="B7" s="167"/>
      <c r="C7" s="167"/>
      <c r="D7" s="167"/>
      <c r="E7" s="59"/>
      <c r="F7" s="59"/>
    </row>
    <row r="8" spans="1:7" ht="18.5">
      <c r="B8" s="167"/>
      <c r="C8" s="167"/>
      <c r="D8" s="167"/>
      <c r="E8" s="59"/>
      <c r="F8" s="59"/>
    </row>
    <row r="9" spans="1:7" ht="18.5">
      <c r="B9" s="167"/>
      <c r="C9" s="167"/>
      <c r="D9" s="167"/>
      <c r="E9" s="59"/>
      <c r="F9" s="59"/>
    </row>
    <row r="10" spans="1:7" ht="35" customHeight="1">
      <c r="A10" s="389" t="s">
        <v>258</v>
      </c>
      <c r="B10" s="389"/>
      <c r="C10" s="389"/>
      <c r="D10" s="389"/>
      <c r="E10" s="389"/>
      <c r="F10" s="389"/>
    </row>
    <row r="11" spans="1:7" ht="14.5">
      <c r="C11" s="109"/>
      <c r="D11" s="109"/>
      <c r="E11" s="109"/>
      <c r="F11" s="109"/>
    </row>
    <row r="12" spans="1:7" ht="14.5">
      <c r="C12" s="109"/>
      <c r="D12" s="109"/>
      <c r="E12" s="109"/>
      <c r="F12" s="109"/>
    </row>
    <row r="13" spans="1:7" ht="15" thickBot="1">
      <c r="C13" s="109"/>
      <c r="D13" s="109"/>
      <c r="E13" s="109"/>
      <c r="F13" s="109"/>
    </row>
    <row r="14" spans="1:7" ht="24.75" customHeight="1" thickBot="1">
      <c r="A14" s="390" t="s">
        <v>90</v>
      </c>
      <c r="B14" s="390"/>
      <c r="C14" s="390" t="s">
        <v>91</v>
      </c>
      <c r="D14" s="390"/>
      <c r="E14" s="31"/>
      <c r="F14" s="391" t="s">
        <v>77</v>
      </c>
    </row>
    <row r="15" spans="1:7" ht="24.75" customHeight="1" thickBot="1">
      <c r="A15" s="31" t="s">
        <v>44</v>
      </c>
      <c r="B15" s="31" t="s">
        <v>42</v>
      </c>
      <c r="C15" s="31" t="s">
        <v>44</v>
      </c>
      <c r="D15" s="31" t="s">
        <v>45</v>
      </c>
      <c r="E15" s="31" t="s">
        <v>42</v>
      </c>
      <c r="F15" s="391"/>
    </row>
    <row r="16" spans="1:7" ht="24.75" customHeight="1" thickBot="1">
      <c r="A16" s="283"/>
      <c r="B16" s="190"/>
      <c r="C16" s="283"/>
      <c r="D16" s="190"/>
      <c r="E16" s="190"/>
      <c r="F16" s="284">
        <f>B16-E16</f>
        <v>0</v>
      </c>
    </row>
    <row r="17" spans="1:7" ht="24.75" customHeight="1" thickBot="1">
      <c r="A17" s="283"/>
      <c r="B17" s="190"/>
      <c r="C17" s="283"/>
      <c r="D17" s="190"/>
      <c r="E17" s="190"/>
      <c r="F17" s="284">
        <f t="shared" ref="F17:F19" si="0">B17-E17</f>
        <v>0</v>
      </c>
    </row>
    <row r="18" spans="1:7" ht="24.75" customHeight="1" thickBot="1">
      <c r="A18" s="283"/>
      <c r="B18" s="190"/>
      <c r="C18" s="283"/>
      <c r="D18" s="190"/>
      <c r="E18" s="190"/>
      <c r="F18" s="284">
        <f t="shared" si="0"/>
        <v>0</v>
      </c>
    </row>
    <row r="19" spans="1:7" ht="28.5" customHeight="1" thickBot="1">
      <c r="A19" s="283"/>
      <c r="B19" s="190"/>
      <c r="C19" s="283"/>
      <c r="D19" s="190"/>
      <c r="E19" s="190"/>
      <c r="F19" s="284">
        <f t="shared" si="0"/>
        <v>0</v>
      </c>
    </row>
    <row r="20" spans="1:7" ht="27" customHeight="1" thickBot="1">
      <c r="A20" s="71" t="s">
        <v>41</v>
      </c>
      <c r="B20" s="71">
        <f>SUM(B16:B19)</f>
        <v>0</v>
      </c>
      <c r="C20" s="388" t="s">
        <v>41</v>
      </c>
      <c r="D20" s="388"/>
      <c r="E20" s="71">
        <f>SUM(E16:E19)</f>
        <v>0</v>
      </c>
      <c r="F20" s="285">
        <f>E20-B20</f>
        <v>0</v>
      </c>
    </row>
    <row r="21" spans="1:7" ht="14.5">
      <c r="F21" s="110"/>
    </row>
    <row r="23" spans="1:7" ht="14.5">
      <c r="G23" s="14"/>
    </row>
    <row r="24" spans="1:7" ht="14.5">
      <c r="G24" s="4"/>
    </row>
    <row r="25" spans="1:7" ht="23.5">
      <c r="A25" s="11" t="str">
        <f>+'RECETTES  QUITT '!A20</f>
        <v>Effectuée le 16/05/2024</v>
      </c>
      <c r="B25" s="11"/>
      <c r="C25" s="14"/>
      <c r="D25" s="14"/>
      <c r="E25" s="14"/>
      <c r="F25" s="14"/>
      <c r="G25" s="45"/>
    </row>
    <row r="26" spans="1:7" ht="14.5">
      <c r="A26" s="4"/>
      <c r="B26" s="4"/>
      <c r="C26" s="4"/>
      <c r="D26" s="4"/>
      <c r="E26" s="4"/>
      <c r="F26" s="4"/>
    </row>
    <row r="27" spans="1:7" ht="23.5">
      <c r="A27" s="18" t="str">
        <f>'P V '!A44:D44</f>
        <v>Les Missionnaires</v>
      </c>
      <c r="B27" s="11"/>
      <c r="C27" s="11"/>
      <c r="D27" s="11"/>
      <c r="E27" s="18" t="s">
        <v>83</v>
      </c>
      <c r="F27" s="18"/>
    </row>
  </sheetData>
  <mergeCells count="5">
    <mergeCell ref="C20:D20"/>
    <mergeCell ref="A10:F10"/>
    <mergeCell ref="C14:D14"/>
    <mergeCell ref="A14:B14"/>
    <mergeCell ref="F14:F15"/>
  </mergeCells>
  <pageMargins left="0.51" right="0.28000000000000003" top="0.75" bottom="0.75" header="0.3" footer="0.3"/>
  <pageSetup paperSize="9" scale="85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15" zoomScaleNormal="100" zoomScaleSheetLayoutView="100" workbookViewId="0">
      <selection activeCell="C22" sqref="C22:D22"/>
    </sheetView>
  </sheetViews>
  <sheetFormatPr baseColWidth="10" defaultColWidth="11.453125" defaultRowHeight="18.5"/>
  <cols>
    <col min="1" max="1" width="20" style="12" customWidth="1"/>
    <col min="2" max="2" width="27.7265625" style="12" customWidth="1"/>
    <col min="3" max="3" width="27.54296875" style="12" customWidth="1"/>
    <col min="4" max="4" width="27.26953125" style="12" customWidth="1"/>
    <col min="5" max="5" width="21.26953125" style="12" bestFit="1" customWidth="1"/>
    <col min="6" max="6" width="22.81640625" style="193" bestFit="1" customWidth="1"/>
    <col min="7" max="9" width="11.453125" style="12"/>
    <col min="10" max="10" width="11.81640625" style="12" customWidth="1"/>
    <col min="11" max="221" width="11.453125" style="12"/>
    <col min="222" max="222" width="10.54296875" style="12" customWidth="1"/>
    <col min="223" max="223" width="11.26953125" style="12" customWidth="1"/>
    <col min="224" max="224" width="15.1796875" style="12" customWidth="1"/>
    <col min="225" max="225" width="13" style="12" customWidth="1"/>
    <col min="226" max="226" width="21" style="12" customWidth="1"/>
    <col min="227" max="227" width="14.1796875" style="12" bestFit="1" customWidth="1"/>
    <col min="228" max="228" width="23.26953125" style="12" customWidth="1"/>
    <col min="229" max="229" width="0" style="12" hidden="1" customWidth="1"/>
    <col min="230" max="230" width="20" style="12" customWidth="1"/>
    <col min="231" max="231" width="17.81640625" style="12" bestFit="1" customWidth="1"/>
    <col min="232" max="233" width="11.453125" style="12"/>
    <col min="234" max="234" width="14.1796875" style="12" customWidth="1"/>
    <col min="235" max="16384" width="11.453125" style="12"/>
  </cols>
  <sheetData>
    <row r="1" spans="1:7" ht="22">
      <c r="A1" s="228" t="s">
        <v>51</v>
      </c>
      <c r="B1" s="226"/>
      <c r="C1" s="226"/>
      <c r="D1" s="227"/>
    </row>
    <row r="2" spans="1:7" ht="22">
      <c r="A2" s="228" t="s">
        <v>1</v>
      </c>
      <c r="B2" s="226"/>
      <c r="C2" s="226"/>
      <c r="D2" s="227"/>
    </row>
    <row r="3" spans="1:7" ht="22">
      <c r="A3" s="228" t="s">
        <v>2</v>
      </c>
      <c r="B3" s="226"/>
      <c r="C3" s="226"/>
      <c r="D3" s="227"/>
    </row>
    <row r="4" spans="1:7">
      <c r="A4" s="26"/>
      <c r="B4" s="149"/>
      <c r="C4" s="149"/>
    </row>
    <row r="5" spans="1:7" s="308" customFormat="1" ht="15.5">
      <c r="A5" s="308" t="s">
        <v>270</v>
      </c>
      <c r="B5" s="309"/>
      <c r="C5" s="309"/>
      <c r="D5" s="309"/>
      <c r="E5" s="310"/>
      <c r="F5" s="310"/>
    </row>
    <row r="6" spans="1:7">
      <c r="A6" s="26"/>
      <c r="B6" s="149"/>
      <c r="C6" s="149"/>
    </row>
    <row r="7" spans="1:7">
      <c r="A7" s="26"/>
      <c r="B7" s="149"/>
      <c r="C7" s="149"/>
    </row>
    <row r="8" spans="1:7">
      <c r="A8" s="26"/>
      <c r="B8" s="149"/>
      <c r="C8" s="149"/>
    </row>
    <row r="9" spans="1:7" s="125" customFormat="1" ht="35.25" customHeight="1">
      <c r="A9" s="362" t="s">
        <v>259</v>
      </c>
      <c r="B9" s="362"/>
      <c r="C9" s="362"/>
      <c r="D9" s="362"/>
      <c r="E9" s="12"/>
      <c r="F9" s="200"/>
    </row>
    <row r="10" spans="1:7">
      <c r="B10" s="149"/>
      <c r="C10" s="149"/>
    </row>
    <row r="11" spans="1:7">
      <c r="B11" s="149"/>
      <c r="C11" s="149"/>
    </row>
    <row r="12" spans="1:7" ht="19" thickBot="1">
      <c r="B12" s="149"/>
      <c r="C12" s="149"/>
    </row>
    <row r="13" spans="1:7" s="124" customFormat="1" ht="37.5" customHeight="1" thickBot="1">
      <c r="A13" s="58" t="s">
        <v>105</v>
      </c>
      <c r="B13" s="58" t="s">
        <v>12</v>
      </c>
      <c r="C13" s="58" t="s">
        <v>4</v>
      </c>
      <c r="D13" s="58" t="s">
        <v>3</v>
      </c>
      <c r="E13" s="12"/>
      <c r="F13" s="193"/>
      <c r="G13" s="12"/>
    </row>
    <row r="14" spans="1:7" ht="23.25" customHeight="1">
      <c r="A14" s="394" t="s">
        <v>110</v>
      </c>
      <c r="B14" s="397">
        <f>+'DEPUILLEMENT '!A12</f>
        <v>0</v>
      </c>
      <c r="C14" s="397">
        <f>+'DEPUILLEMENT '!A59</f>
        <v>0</v>
      </c>
      <c r="D14" s="400">
        <f>+'DEPUILLEMENT '!Q60</f>
        <v>0</v>
      </c>
      <c r="E14" s="193"/>
    </row>
    <row r="15" spans="1:7" ht="23.25" customHeight="1">
      <c r="A15" s="395"/>
      <c r="B15" s="398"/>
      <c r="C15" s="398"/>
      <c r="D15" s="401"/>
    </row>
    <row r="16" spans="1:7" ht="23.25" customHeight="1">
      <c r="A16" s="395"/>
      <c r="B16" s="398"/>
      <c r="C16" s="398"/>
      <c r="D16" s="401"/>
    </row>
    <row r="17" spans="1:7" ht="23.25" customHeight="1" thickBot="1">
      <c r="A17" s="396"/>
      <c r="B17" s="399"/>
      <c r="C17" s="399"/>
      <c r="D17" s="402"/>
    </row>
    <row r="18" spans="1:7" ht="39" customHeight="1" thickBot="1">
      <c r="A18" s="392" t="s">
        <v>101</v>
      </c>
      <c r="B18" s="393"/>
      <c r="C18" s="58"/>
      <c r="D18" s="173">
        <f>SUM(D14:D17)</f>
        <v>0</v>
      </c>
      <c r="E18" s="48"/>
      <c r="F18" s="12"/>
      <c r="G18" s="193"/>
    </row>
    <row r="19" spans="1:7">
      <c r="A19" s="11"/>
      <c r="C19" s="11"/>
      <c r="E19" s="48"/>
    </row>
    <row r="20" spans="1:7">
      <c r="A20" s="11" t="s">
        <v>280</v>
      </c>
      <c r="C20" s="11"/>
    </row>
    <row r="21" spans="1:7" s="11" customFormat="1" ht="21">
      <c r="A21" s="22"/>
      <c r="F21" s="129"/>
    </row>
    <row r="22" spans="1:7" ht="23.5">
      <c r="A22" s="18" t="s">
        <v>281</v>
      </c>
      <c r="B22" s="11"/>
      <c r="C22" s="359" t="s">
        <v>83</v>
      </c>
      <c r="D22" s="359"/>
    </row>
    <row r="23" spans="1:7">
      <c r="A23" s="11"/>
      <c r="B23" s="11"/>
      <c r="C23" s="11"/>
    </row>
    <row r="25" spans="1:7">
      <c r="A25" s="201"/>
      <c r="D25" s="202"/>
    </row>
  </sheetData>
  <mergeCells count="7">
    <mergeCell ref="C22:D22"/>
    <mergeCell ref="A18:B18"/>
    <mergeCell ref="A9:D9"/>
    <mergeCell ref="A14:A17"/>
    <mergeCell ref="B14:B17"/>
    <mergeCell ref="C14:C17"/>
    <mergeCell ref="D14:D17"/>
  </mergeCells>
  <pageMargins left="0.55000000000000004" right="0.42" top="0.72" bottom="0.6" header="0.22" footer="0.45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9" workbookViewId="0">
      <selection activeCell="A23" sqref="A23"/>
    </sheetView>
  </sheetViews>
  <sheetFormatPr baseColWidth="10" defaultColWidth="11.453125" defaultRowHeight="14.5"/>
  <cols>
    <col min="1" max="1" width="12.453125" style="4" customWidth="1"/>
    <col min="2" max="2" width="10.26953125" style="51" customWidth="1"/>
    <col min="3" max="3" width="15.54296875" style="4" customWidth="1"/>
    <col min="4" max="4" width="21.81640625" style="9" customWidth="1"/>
    <col min="5" max="5" width="8.54296875" style="51" customWidth="1"/>
    <col min="6" max="6" width="15.1796875" style="91" customWidth="1"/>
    <col min="7" max="7" width="18.453125" style="16" customWidth="1"/>
    <col min="8" max="8" width="11.453125" style="4"/>
    <col min="9" max="9" width="12.81640625" style="4" customWidth="1"/>
    <col min="10" max="16384" width="11.453125" style="4"/>
  </cols>
  <sheetData>
    <row r="1" spans="1:9" ht="22">
      <c r="A1" s="228" t="s">
        <v>52</v>
      </c>
      <c r="B1" s="229"/>
      <c r="C1" s="230"/>
      <c r="D1" s="231"/>
      <c r="E1" s="232"/>
      <c r="F1"/>
      <c r="G1"/>
    </row>
    <row r="2" spans="1:9" ht="22">
      <c r="A2" s="228" t="s">
        <v>1</v>
      </c>
      <c r="B2" s="229"/>
      <c r="C2" s="223"/>
      <c r="D2" s="231"/>
      <c r="E2" s="232"/>
      <c r="F2"/>
      <c r="G2"/>
    </row>
    <row r="3" spans="1:9" ht="22">
      <c r="A3" s="228" t="s">
        <v>2</v>
      </c>
      <c r="B3" s="229"/>
      <c r="C3" s="223"/>
      <c r="D3" s="231"/>
      <c r="E3" s="232"/>
      <c r="F3"/>
      <c r="G3"/>
    </row>
    <row r="4" spans="1:9" ht="22.5" customHeight="1">
      <c r="A4" s="3"/>
      <c r="B4" s="49"/>
      <c r="C4" s="9"/>
      <c r="D4" s="51"/>
      <c r="E4" s="112"/>
      <c r="F4" s="4"/>
      <c r="G4" s="4"/>
    </row>
    <row r="5" spans="1:9" s="308" customFormat="1" ht="15.5">
      <c r="A5" s="308" t="s">
        <v>270</v>
      </c>
      <c r="B5" s="309"/>
      <c r="C5" s="309"/>
      <c r="D5" s="309"/>
      <c r="E5" s="310"/>
      <c r="F5" s="310"/>
    </row>
    <row r="6" spans="1:9" ht="22.5" customHeight="1">
      <c r="A6" s="3"/>
      <c r="B6" s="49"/>
      <c r="C6" s="9"/>
      <c r="D6" s="51"/>
      <c r="E6" s="112"/>
      <c r="F6" s="4"/>
      <c r="G6" s="4"/>
    </row>
    <row r="7" spans="1:9" s="91" customFormat="1" ht="60.75" customHeight="1">
      <c r="A7" s="406" t="s">
        <v>260</v>
      </c>
      <c r="B7" s="406"/>
      <c r="C7" s="406"/>
      <c r="D7" s="406"/>
      <c r="E7" s="406"/>
      <c r="F7" s="406"/>
      <c r="G7" s="406"/>
    </row>
    <row r="8" spans="1:9" ht="20.25" customHeight="1" thickBot="1">
      <c r="B8" s="407"/>
      <c r="C8" s="407"/>
      <c r="D8" s="407"/>
      <c r="E8" s="407"/>
      <c r="F8" s="407"/>
      <c r="G8" s="407"/>
    </row>
    <row r="9" spans="1:9" s="112" customFormat="1" ht="33.75" customHeight="1" thickBot="1">
      <c r="A9" s="44" t="s">
        <v>46</v>
      </c>
      <c r="B9" s="44" t="s">
        <v>5</v>
      </c>
      <c r="C9" s="44" t="s">
        <v>44</v>
      </c>
      <c r="D9" s="194" t="s">
        <v>42</v>
      </c>
      <c r="E9" s="44" t="s">
        <v>6</v>
      </c>
      <c r="F9" s="44" t="s">
        <v>44</v>
      </c>
      <c r="G9" s="44" t="s">
        <v>47</v>
      </c>
      <c r="I9" s="91"/>
    </row>
    <row r="10" spans="1:9" ht="19" thickBot="1">
      <c r="A10" s="409" t="s">
        <v>70</v>
      </c>
      <c r="B10" s="118"/>
      <c r="C10" s="114"/>
      <c r="D10" s="115"/>
      <c r="E10" s="118"/>
      <c r="F10" s="116"/>
      <c r="G10" s="123"/>
    </row>
    <row r="11" spans="1:9" ht="19" thickBot="1">
      <c r="A11" s="410"/>
      <c r="B11" s="118"/>
      <c r="C11" s="114"/>
      <c r="D11" s="115"/>
      <c r="E11" s="118"/>
      <c r="F11" s="116"/>
      <c r="G11" s="123"/>
    </row>
    <row r="12" spans="1:9" ht="22.5" customHeight="1" thickBot="1">
      <c r="A12" s="411"/>
      <c r="B12" s="408" t="s">
        <v>41</v>
      </c>
      <c r="C12" s="408"/>
      <c r="D12" s="117">
        <f>SUM(D10:D11)</f>
        <v>0</v>
      </c>
      <c r="E12" s="412"/>
      <c r="F12" s="413"/>
      <c r="G12" s="414"/>
      <c r="I12" s="119"/>
    </row>
    <row r="13" spans="1:9" s="91" customFormat="1" ht="19" thickBot="1">
      <c r="A13" s="409" t="s">
        <v>107</v>
      </c>
      <c r="B13" s="120"/>
      <c r="C13" s="121"/>
      <c r="D13" s="122"/>
      <c r="E13" s="118"/>
      <c r="F13" s="116"/>
      <c r="G13" s="123"/>
    </row>
    <row r="14" spans="1:9" s="91" customFormat="1" ht="19" thickBot="1">
      <c r="A14" s="410"/>
      <c r="B14" s="120"/>
      <c r="C14" s="121"/>
      <c r="D14" s="122"/>
      <c r="E14" s="118"/>
      <c r="F14" s="116"/>
      <c r="G14" s="123"/>
    </row>
    <row r="15" spans="1:9" s="91" customFormat="1" ht="19" thickBot="1">
      <c r="A15" s="410"/>
      <c r="B15" s="408" t="s">
        <v>41</v>
      </c>
      <c r="C15" s="408"/>
      <c r="D15" s="117">
        <f>SUM(D13:D14)</f>
        <v>0</v>
      </c>
      <c r="E15" s="412"/>
      <c r="F15" s="413"/>
      <c r="G15" s="414"/>
    </row>
    <row r="16" spans="1:9" s="91" customFormat="1" ht="19" thickBot="1">
      <c r="A16" s="409" t="s">
        <v>106</v>
      </c>
      <c r="B16" s="120"/>
      <c r="C16" s="121"/>
      <c r="D16" s="122"/>
      <c r="E16" s="268"/>
      <c r="F16" s="116"/>
      <c r="G16" s="214"/>
    </row>
    <row r="17" spans="1:7" s="91" customFormat="1" ht="19" thickBot="1">
      <c r="A17" s="410"/>
      <c r="B17" s="408" t="s">
        <v>41</v>
      </c>
      <c r="C17" s="408"/>
      <c r="D17" s="117">
        <f>SUM(D16:D16)</f>
        <v>0</v>
      </c>
      <c r="E17" s="412"/>
      <c r="F17" s="413"/>
      <c r="G17" s="414"/>
    </row>
    <row r="18" spans="1:7" ht="27.75" customHeight="1" thickBot="1">
      <c r="A18" s="403" t="s">
        <v>101</v>
      </c>
      <c r="B18" s="404"/>
      <c r="C18" s="405"/>
      <c r="D18" s="117">
        <f>+D12+D15+D17</f>
        <v>0</v>
      </c>
      <c r="E18" s="124"/>
      <c r="F18" s="125"/>
      <c r="G18" s="126"/>
    </row>
    <row r="19" spans="1:7" ht="21">
      <c r="A19" s="23"/>
      <c r="B19" s="27"/>
      <c r="C19" s="23"/>
      <c r="D19" s="127"/>
      <c r="E19" s="27"/>
      <c r="F19" s="128"/>
    </row>
    <row r="20" spans="1:7" ht="18" customHeight="1">
      <c r="A20" s="11" t="str">
        <f>+'RECETTES  QUITT '!A20</f>
        <v>Effectuée le 16/05/2024</v>
      </c>
      <c r="B20" s="27"/>
      <c r="C20" s="23"/>
      <c r="D20" s="22"/>
      <c r="E20" s="24"/>
      <c r="F20" s="23"/>
      <c r="G20" s="23"/>
    </row>
    <row r="21" spans="1:7" ht="18" customHeight="1">
      <c r="A21" s="11"/>
      <c r="B21" s="27"/>
      <c r="C21" s="23"/>
      <c r="D21" s="22"/>
      <c r="E21" s="24"/>
      <c r="F21" s="23"/>
      <c r="G21" s="23"/>
    </row>
    <row r="22" spans="1:7" s="5" customFormat="1" ht="23.5">
      <c r="A22" s="18" t="str">
        <f>'P V '!A44:D44</f>
        <v>Les Missionnaires</v>
      </c>
      <c r="B22" s="11"/>
      <c r="C22" s="11"/>
      <c r="D22" s="18"/>
      <c r="F22" s="359" t="s">
        <v>83</v>
      </c>
      <c r="G22" s="359"/>
    </row>
  </sheetData>
  <mergeCells count="13">
    <mergeCell ref="F22:G22"/>
    <mergeCell ref="A18:C18"/>
    <mergeCell ref="A7:G7"/>
    <mergeCell ref="B8:G8"/>
    <mergeCell ref="B12:C12"/>
    <mergeCell ref="A10:A12"/>
    <mergeCell ref="E12:G12"/>
    <mergeCell ref="A13:A15"/>
    <mergeCell ref="A16:A17"/>
    <mergeCell ref="B15:C15"/>
    <mergeCell ref="E15:G15"/>
    <mergeCell ref="B17:C17"/>
    <mergeCell ref="E17:G17"/>
  </mergeCells>
  <pageMargins left="0.59" right="0.4" top="0.57999999999999996" bottom="0.24" header="0.3" footer="0.2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12" zoomScaleNormal="100" workbookViewId="0">
      <selection activeCell="A22" sqref="A22"/>
    </sheetView>
  </sheetViews>
  <sheetFormatPr baseColWidth="10" defaultColWidth="11.453125" defaultRowHeight="14.5"/>
  <cols>
    <col min="1" max="1" width="33.7265625" style="4" customWidth="1"/>
    <col min="2" max="2" width="19.453125" style="4" customWidth="1"/>
    <col min="3" max="3" width="36.453125" style="4" customWidth="1"/>
    <col min="4" max="4" width="20.81640625" style="4" customWidth="1"/>
    <col min="5" max="5" width="5.54296875" style="4" customWidth="1"/>
    <col min="6" max="16384" width="11.453125" style="4"/>
  </cols>
  <sheetData>
    <row r="1" spans="1:7" s="15" customFormat="1" ht="22">
      <c r="A1" s="228" t="s">
        <v>0</v>
      </c>
      <c r="B1" s="234"/>
      <c r="C1" s="415" t="s">
        <v>26</v>
      </c>
      <c r="D1" s="415"/>
      <c r="E1" s="112"/>
    </row>
    <row r="2" spans="1:7" s="15" customFormat="1" ht="22">
      <c r="A2" s="228" t="s">
        <v>53</v>
      </c>
      <c r="B2" s="234"/>
      <c r="C2" s="235"/>
      <c r="D2" s="234"/>
      <c r="E2" s="113"/>
    </row>
    <row r="3" spans="1:7" s="15" customFormat="1" ht="22">
      <c r="A3" s="228" t="s">
        <v>1</v>
      </c>
      <c r="B3" s="234"/>
      <c r="C3" s="225"/>
      <c r="D3" s="234"/>
      <c r="E3" s="113"/>
    </row>
    <row r="4" spans="1:7" s="15" customFormat="1" ht="22">
      <c r="A4" s="228" t="s">
        <v>2</v>
      </c>
      <c r="B4" s="234"/>
      <c r="C4" s="225"/>
      <c r="D4" s="234"/>
      <c r="E4" s="113"/>
    </row>
    <row r="5" spans="1:7">
      <c r="A5" s="5"/>
      <c r="B5" s="3"/>
    </row>
    <row r="6" spans="1:7">
      <c r="A6" s="5"/>
      <c r="B6" s="3"/>
    </row>
    <row r="7" spans="1:7" s="308" customFormat="1" ht="15.5">
      <c r="A7" s="308" t="s">
        <v>270</v>
      </c>
      <c r="B7" s="309"/>
      <c r="C7" s="309"/>
      <c r="D7" s="309"/>
      <c r="E7" s="310"/>
      <c r="F7" s="310"/>
    </row>
    <row r="8" spans="1:7">
      <c r="A8" s="5"/>
      <c r="B8" s="3"/>
    </row>
    <row r="9" spans="1:7" ht="54.75" customHeight="1">
      <c r="A9" s="5"/>
      <c r="B9" s="3"/>
    </row>
    <row r="10" spans="1:7" ht="25.5" customHeight="1">
      <c r="A10" s="5"/>
      <c r="B10" s="3"/>
    </row>
    <row r="11" spans="1:7" ht="25.5" customHeight="1">
      <c r="A11" s="416" t="s">
        <v>261</v>
      </c>
      <c r="B11" s="416"/>
      <c r="C11" s="416"/>
      <c r="D11" s="416"/>
    </row>
    <row r="12" spans="1:7" s="5" customFormat="1" ht="32.25" customHeight="1">
      <c r="B12" s="3"/>
      <c r="C12" s="4"/>
      <c r="D12" s="4"/>
      <c r="G12" s="4"/>
    </row>
    <row r="13" spans="1:7" ht="57" customHeight="1" thickBot="1">
      <c r="A13" s="5"/>
      <c r="B13" s="3"/>
      <c r="G13" s="5"/>
    </row>
    <row r="14" spans="1:7" ht="52.5" customHeight="1" thickBot="1">
      <c r="A14" s="79" t="s">
        <v>81</v>
      </c>
      <c r="B14" s="28" t="s">
        <v>42</v>
      </c>
      <c r="C14" s="28" t="s">
        <v>88</v>
      </c>
      <c r="D14" s="28" t="s">
        <v>103</v>
      </c>
      <c r="G14" s="5"/>
    </row>
    <row r="15" spans="1:7" ht="22.5" thickBot="1">
      <c r="A15" s="188"/>
      <c r="B15" s="189"/>
      <c r="C15" s="196"/>
      <c r="D15" s="144"/>
    </row>
    <row r="16" spans="1:7" ht="41.25" customHeight="1" thickBot="1">
      <c r="A16" s="188"/>
      <c r="B16" s="189"/>
      <c r="C16" s="196"/>
      <c r="D16" s="144"/>
    </row>
    <row r="19" spans="1:4" ht="18.5">
      <c r="A19" s="11" t="str">
        <f>+'RECETTES  QUITT '!A20</f>
        <v>Effectuée le 16/05/2024</v>
      </c>
      <c r="D19" s="5"/>
    </row>
    <row r="20" spans="1:4" ht="15.5">
      <c r="A20" s="8"/>
      <c r="D20" s="5"/>
    </row>
    <row r="21" spans="1:4" ht="23.5">
      <c r="A21" s="18" t="str">
        <f>'P V '!A44:D44</f>
        <v>Les Missionnaires</v>
      </c>
      <c r="B21" s="11"/>
      <c r="C21" s="11"/>
      <c r="D21" s="45" t="s">
        <v>83</v>
      </c>
    </row>
    <row r="22" spans="1:4">
      <c r="C22" s="130"/>
      <c r="D22" s="130"/>
    </row>
  </sheetData>
  <mergeCells count="2">
    <mergeCell ref="C1:D1"/>
    <mergeCell ref="A11:D11"/>
  </mergeCells>
  <phoneticPr fontId="48" type="noConversion"/>
  <pageMargins left="0.5" right="0.31496062992125984" top="0.6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41" workbookViewId="0">
      <selection activeCell="A54" sqref="A54"/>
    </sheetView>
  </sheetViews>
  <sheetFormatPr baseColWidth="10" defaultColWidth="11.453125" defaultRowHeight="14.5"/>
  <cols>
    <col min="1" max="2" width="9.26953125" style="4" customWidth="1"/>
    <col min="3" max="3" width="31.1796875" style="9" customWidth="1"/>
    <col min="4" max="4" width="24.1796875" style="141" customWidth="1"/>
    <col min="5" max="5" width="24" style="9" customWidth="1"/>
    <col min="6" max="6" width="25.1796875" style="4" customWidth="1"/>
    <col min="7" max="16384" width="11.453125" style="4"/>
  </cols>
  <sheetData>
    <row r="1" spans="1:6" ht="22.5" customHeight="1">
      <c r="A1" s="228" t="s">
        <v>0</v>
      </c>
      <c r="B1" s="228"/>
      <c r="C1" s="236"/>
      <c r="D1" s="237"/>
      <c r="E1" s="419" t="s">
        <v>66</v>
      </c>
      <c r="F1" s="419"/>
    </row>
    <row r="2" spans="1:6" ht="22">
      <c r="A2" s="228" t="s">
        <v>54</v>
      </c>
      <c r="B2" s="228"/>
      <c r="C2" s="238"/>
      <c r="D2" s="239"/>
      <c r="E2" s="238"/>
      <c r="F2"/>
    </row>
    <row r="3" spans="1:6" ht="18.75" customHeight="1">
      <c r="A3" s="228" t="s">
        <v>1</v>
      </c>
      <c r="B3" s="240"/>
      <c r="C3" s="215"/>
      <c r="D3" s="241"/>
      <c r="E3" s="215"/>
      <c r="F3"/>
    </row>
    <row r="4" spans="1:6" ht="22.5" customHeight="1">
      <c r="A4" s="242" t="s">
        <v>2</v>
      </c>
      <c r="B4" s="243"/>
      <c r="C4" s="243"/>
      <c r="D4" s="244"/>
      <c r="E4" s="243"/>
      <c r="F4"/>
    </row>
    <row r="5" spans="1:6" ht="15.5">
      <c r="A5" s="133"/>
      <c r="B5" s="133"/>
      <c r="C5" s="134"/>
      <c r="D5" s="135"/>
      <c r="E5" s="134"/>
      <c r="F5" s="14"/>
    </row>
    <row r="6" spans="1:6" s="308" customFormat="1" ht="15.5">
      <c r="A6" s="308" t="s">
        <v>270</v>
      </c>
      <c r="B6" s="309"/>
      <c r="C6" s="309"/>
      <c r="D6" s="309"/>
      <c r="E6" s="310"/>
      <c r="F6" s="310"/>
    </row>
    <row r="7" spans="1:6" ht="15.5">
      <c r="A7" s="133"/>
      <c r="B7" s="133"/>
      <c r="C7" s="134"/>
      <c r="D7" s="135"/>
      <c r="E7" s="134"/>
      <c r="F7" s="14"/>
    </row>
    <row r="8" spans="1:6" ht="39" customHeight="1">
      <c r="A8" s="417" t="s">
        <v>72</v>
      </c>
      <c r="B8" s="417"/>
      <c r="C8" s="417"/>
      <c r="D8" s="417"/>
      <c r="E8" s="417"/>
      <c r="F8" s="417"/>
    </row>
    <row r="9" spans="1:6" ht="30" customHeight="1" thickBot="1">
      <c r="A9" s="418" t="s">
        <v>262</v>
      </c>
      <c r="B9" s="418"/>
      <c r="C9" s="418"/>
      <c r="D9" s="418"/>
      <c r="E9" s="418"/>
      <c r="F9" s="418"/>
    </row>
    <row r="10" spans="1:6" s="91" customFormat="1" ht="48" customHeight="1" thickBot="1">
      <c r="A10" s="93" t="s">
        <v>48</v>
      </c>
      <c r="B10" s="93" t="s">
        <v>73</v>
      </c>
      <c r="C10" s="86" t="s">
        <v>113</v>
      </c>
      <c r="D10" s="86" t="s">
        <v>71</v>
      </c>
      <c r="E10" s="86" t="s">
        <v>112</v>
      </c>
      <c r="F10" s="86" t="s">
        <v>55</v>
      </c>
    </row>
    <row r="11" spans="1:6" s="136" customFormat="1" ht="21.5" thickBot="1">
      <c r="A11" s="169"/>
      <c r="B11" s="169"/>
      <c r="C11" s="191"/>
      <c r="D11" s="191"/>
      <c r="E11" s="56"/>
      <c r="F11" s="56"/>
    </row>
    <row r="12" spans="1:6" s="136" customFormat="1" ht="21.5" thickBot="1">
      <c r="A12" s="169"/>
      <c r="B12" s="169"/>
      <c r="C12" s="191"/>
      <c r="D12" s="191"/>
      <c r="E12" s="56"/>
      <c r="F12" s="56"/>
    </row>
    <row r="13" spans="1:6" s="136" customFormat="1" ht="21.5" thickBot="1">
      <c r="A13" s="169"/>
      <c r="B13" s="169"/>
      <c r="C13" s="191"/>
      <c r="D13" s="191"/>
      <c r="E13" s="56"/>
      <c r="F13" s="56"/>
    </row>
    <row r="14" spans="1:6" s="136" customFormat="1" ht="21.5" thickBot="1">
      <c r="A14" s="169"/>
      <c r="B14" s="169"/>
      <c r="C14" s="191"/>
      <c r="D14" s="191"/>
      <c r="E14" s="56"/>
      <c r="F14" s="56"/>
    </row>
    <row r="15" spans="1:6" s="136" customFormat="1" ht="21.5" thickBot="1">
      <c r="A15" s="169"/>
      <c r="B15" s="169"/>
      <c r="C15" s="191"/>
      <c r="D15" s="191"/>
      <c r="E15" s="56"/>
      <c r="F15" s="56"/>
    </row>
    <row r="16" spans="1:6" s="136" customFormat="1" ht="21.5" thickBot="1">
      <c r="A16" s="169"/>
      <c r="B16" s="169"/>
      <c r="C16" s="191"/>
      <c r="D16" s="191"/>
      <c r="E16" s="56"/>
      <c r="F16" s="56"/>
    </row>
    <row r="17" spans="1:6" s="136" customFormat="1" ht="21.5" thickBot="1">
      <c r="A17" s="169"/>
      <c r="B17" s="169"/>
      <c r="C17" s="191"/>
      <c r="D17" s="191"/>
      <c r="E17" s="56"/>
      <c r="F17" s="56"/>
    </row>
    <row r="18" spans="1:6" s="136" customFormat="1" ht="21.5" thickBot="1">
      <c r="A18" s="169"/>
      <c r="B18" s="169"/>
      <c r="C18" s="191"/>
      <c r="D18" s="191"/>
      <c r="E18" s="56"/>
      <c r="F18" s="56"/>
    </row>
    <row r="19" spans="1:6" s="136" customFormat="1" ht="21.5" thickBot="1">
      <c r="A19" s="169"/>
      <c r="B19" s="169"/>
      <c r="C19" s="191"/>
      <c r="D19" s="191"/>
      <c r="E19" s="56"/>
      <c r="F19" s="56"/>
    </row>
    <row r="20" spans="1:6" s="136" customFormat="1" ht="21.5" thickBot="1">
      <c r="A20" s="169"/>
      <c r="B20" s="169"/>
      <c r="C20" s="191"/>
      <c r="D20" s="191"/>
      <c r="E20" s="56"/>
      <c r="F20" s="56"/>
    </row>
    <row r="21" spans="1:6" s="136" customFormat="1" ht="21.5" thickBot="1">
      <c r="A21" s="169"/>
      <c r="B21" s="169"/>
      <c r="C21" s="191"/>
      <c r="D21" s="191"/>
      <c r="E21" s="56"/>
      <c r="F21" s="56"/>
    </row>
    <row r="22" spans="1:6" s="136" customFormat="1" ht="21.5" thickBot="1">
      <c r="A22" s="169"/>
      <c r="B22" s="169"/>
      <c r="C22" s="191"/>
      <c r="D22" s="191"/>
      <c r="E22" s="56"/>
      <c r="F22" s="56"/>
    </row>
    <row r="23" spans="1:6" s="136" customFormat="1" ht="24" customHeight="1" thickBot="1">
      <c r="A23" s="169"/>
      <c r="B23" s="169"/>
      <c r="C23" s="191"/>
      <c r="D23" s="191"/>
      <c r="E23" s="56"/>
      <c r="F23" s="56"/>
    </row>
    <row r="24" spans="1:6" s="136" customFormat="1" ht="21.5" thickBot="1">
      <c r="A24" s="169"/>
      <c r="B24" s="169"/>
      <c r="C24" s="191"/>
      <c r="D24" s="191"/>
      <c r="E24" s="56"/>
      <c r="F24" s="56"/>
    </row>
    <row r="25" spans="1:6" s="136" customFormat="1" ht="21.5" thickBot="1">
      <c r="A25" s="169"/>
      <c r="B25" s="169"/>
      <c r="C25" s="191"/>
      <c r="D25" s="191"/>
      <c r="E25" s="56"/>
      <c r="F25" s="56"/>
    </row>
    <row r="26" spans="1:6" s="136" customFormat="1" ht="21.5" thickBot="1">
      <c r="A26" s="169"/>
      <c r="B26" s="169"/>
      <c r="C26" s="191"/>
      <c r="D26" s="191"/>
      <c r="E26" s="56"/>
      <c r="F26" s="56"/>
    </row>
    <row r="27" spans="1:6" s="136" customFormat="1" ht="21.5" thickBot="1">
      <c r="A27" s="169"/>
      <c r="B27" s="169"/>
      <c r="C27" s="191"/>
      <c r="D27" s="191"/>
      <c r="E27" s="56"/>
      <c r="F27" s="56"/>
    </row>
    <row r="28" spans="1:6" s="136" customFormat="1" ht="21.5" thickBot="1">
      <c r="A28" s="169"/>
      <c r="B28" s="169"/>
      <c r="C28" s="191"/>
      <c r="D28" s="191"/>
      <c r="E28" s="56"/>
      <c r="F28" s="56"/>
    </row>
    <row r="29" spans="1:6" s="136" customFormat="1" ht="21.5" thickBot="1">
      <c r="A29" s="169"/>
      <c r="B29" s="169"/>
      <c r="C29" s="191"/>
      <c r="D29" s="191"/>
      <c r="E29" s="56"/>
      <c r="F29" s="56"/>
    </row>
    <row r="30" spans="1:6" s="136" customFormat="1" ht="21.5" thickBot="1">
      <c r="A30" s="169"/>
      <c r="B30" s="169"/>
      <c r="C30" s="191"/>
      <c r="D30" s="191"/>
      <c r="E30" s="56"/>
      <c r="F30" s="56"/>
    </row>
    <row r="31" spans="1:6" s="136" customFormat="1" ht="21.5" thickBot="1">
      <c r="A31" s="169"/>
      <c r="B31" s="169"/>
      <c r="C31" s="191"/>
      <c r="D31" s="191"/>
      <c r="E31" s="56"/>
      <c r="F31" s="56"/>
    </row>
    <row r="32" spans="1:6" s="136" customFormat="1" ht="21.5" thickBot="1">
      <c r="A32" s="169"/>
      <c r="B32" s="169"/>
      <c r="C32" s="191"/>
      <c r="D32" s="191"/>
      <c r="E32" s="56"/>
      <c r="F32" s="56"/>
    </row>
    <row r="33" spans="1:6" s="136" customFormat="1" ht="21.5" thickBot="1">
      <c r="A33" s="169"/>
      <c r="B33" s="169"/>
      <c r="C33" s="191"/>
      <c r="D33" s="191"/>
      <c r="E33" s="56"/>
      <c r="F33" s="56"/>
    </row>
    <row r="34" spans="1:6" s="136" customFormat="1" ht="21.5" thickBot="1">
      <c r="A34" s="169"/>
      <c r="B34" s="169"/>
      <c r="C34" s="191"/>
      <c r="D34" s="191"/>
      <c r="E34" s="56"/>
      <c r="F34" s="56"/>
    </row>
    <row r="35" spans="1:6" s="136" customFormat="1" ht="21.5" thickBot="1">
      <c r="A35" s="169"/>
      <c r="B35" s="169"/>
      <c r="C35" s="191"/>
      <c r="D35" s="191"/>
      <c r="E35" s="56"/>
      <c r="F35" s="56"/>
    </row>
    <row r="36" spans="1:6" s="136" customFormat="1" ht="21.5" thickBot="1">
      <c r="A36" s="169"/>
      <c r="B36" s="169"/>
      <c r="C36" s="191"/>
      <c r="D36" s="191"/>
      <c r="E36" s="56"/>
      <c r="F36" s="56"/>
    </row>
    <row r="37" spans="1:6" s="136" customFormat="1" ht="21.5" thickBot="1">
      <c r="A37" s="169"/>
      <c r="B37" s="169"/>
      <c r="C37" s="191"/>
      <c r="D37" s="191"/>
      <c r="E37" s="56"/>
      <c r="F37" s="56"/>
    </row>
    <row r="38" spans="1:6" s="136" customFormat="1" ht="21.5" thickBot="1">
      <c r="A38" s="169"/>
      <c r="B38" s="169"/>
      <c r="C38" s="191"/>
      <c r="D38" s="191"/>
      <c r="E38" s="56"/>
      <c r="F38" s="56"/>
    </row>
    <row r="39" spans="1:6" s="136" customFormat="1" ht="24" customHeight="1" thickBot="1">
      <c r="A39" s="169"/>
      <c r="B39" s="169"/>
      <c r="C39" s="191"/>
      <c r="D39" s="191"/>
      <c r="E39" s="56"/>
      <c r="F39" s="56"/>
    </row>
    <row r="40" spans="1:6" s="136" customFormat="1" ht="21.5" thickBot="1">
      <c r="A40" s="169"/>
      <c r="B40" s="169"/>
      <c r="C40" s="191"/>
      <c r="D40" s="191"/>
      <c r="E40" s="56"/>
      <c r="F40" s="56"/>
    </row>
    <row r="41" spans="1:6" s="136" customFormat="1" ht="21.5" thickBot="1">
      <c r="A41" s="169"/>
      <c r="B41" s="169"/>
      <c r="C41" s="191"/>
      <c r="D41" s="191"/>
      <c r="E41" s="56"/>
      <c r="F41" s="56"/>
    </row>
    <row r="42" spans="1:6" s="136" customFormat="1" ht="27" customHeight="1" thickBot="1">
      <c r="A42" s="169"/>
      <c r="B42" s="169"/>
      <c r="C42" s="191"/>
      <c r="D42" s="191"/>
      <c r="E42" s="56"/>
      <c r="F42" s="56"/>
    </row>
    <row r="43" spans="1:6" s="136" customFormat="1" ht="21.5" thickBot="1">
      <c r="A43" s="169"/>
      <c r="B43" s="169"/>
      <c r="C43" s="191"/>
      <c r="D43" s="191"/>
      <c r="E43" s="56"/>
      <c r="F43" s="56"/>
    </row>
    <row r="44" spans="1:6" s="136" customFormat="1" ht="21.5" thickBot="1">
      <c r="A44" s="169"/>
      <c r="B44" s="169"/>
      <c r="C44" s="191"/>
      <c r="D44" s="191"/>
      <c r="E44" s="56"/>
      <c r="F44" s="56"/>
    </row>
    <row r="45" spans="1:6" s="136" customFormat="1" ht="21.5" thickBot="1">
      <c r="A45" s="169"/>
      <c r="B45" s="169"/>
      <c r="C45" s="191"/>
      <c r="D45" s="191"/>
      <c r="E45" s="56"/>
      <c r="F45" s="56"/>
    </row>
    <row r="46" spans="1:6" s="136" customFormat="1" ht="21.5" thickBot="1">
      <c r="A46" s="169"/>
      <c r="B46" s="169"/>
      <c r="C46" s="191"/>
      <c r="D46" s="191"/>
      <c r="E46" s="56"/>
      <c r="F46" s="56"/>
    </row>
    <row r="47" spans="1:6" s="136" customFormat="1" ht="21.5" thickBot="1">
      <c r="A47" s="169"/>
      <c r="B47" s="169"/>
      <c r="C47" s="191"/>
      <c r="D47" s="191"/>
      <c r="E47" s="56"/>
      <c r="F47" s="56"/>
    </row>
    <row r="48" spans="1:6" s="136" customFormat="1" ht="21.5" thickBot="1">
      <c r="A48" s="169"/>
      <c r="B48" s="169"/>
      <c r="C48" s="191"/>
      <c r="D48" s="191"/>
      <c r="E48" s="56"/>
      <c r="F48" s="56"/>
    </row>
    <row r="49" spans="1:6" s="136" customFormat="1" ht="21.5" thickBot="1">
      <c r="A49" s="169"/>
      <c r="B49" s="169"/>
      <c r="C49" s="191"/>
      <c r="D49" s="191"/>
      <c r="E49" s="56"/>
      <c r="F49" s="56"/>
    </row>
    <row r="50" spans="1:6" ht="27.75" customHeight="1" thickBot="1">
      <c r="A50" s="137" t="s">
        <v>101</v>
      </c>
      <c r="B50" s="138"/>
      <c r="C50" s="138"/>
      <c r="D50" s="139"/>
      <c r="E50" s="140">
        <f>SUM(E11:E49)</f>
        <v>0</v>
      </c>
      <c r="F50" s="140"/>
    </row>
    <row r="52" spans="1:6" ht="18.5">
      <c r="A52" s="11" t="str">
        <f>+'RECETTES  QUITT '!A20</f>
        <v>Effectuée le 16/05/2024</v>
      </c>
    </row>
    <row r="53" spans="1:6" ht="23.5">
      <c r="A53" s="18" t="str">
        <f>'P V '!A44:D44</f>
        <v>Les Missionnaires</v>
      </c>
      <c r="B53" s="11"/>
      <c r="C53" s="11"/>
      <c r="F53" s="45" t="s">
        <v>83</v>
      </c>
    </row>
  </sheetData>
  <autoFilter ref="A10:F50">
    <sortState ref="A11:F50">
      <sortCondition ref="E10:E50"/>
    </sortState>
  </autoFilter>
  <mergeCells count="3">
    <mergeCell ref="A8:F8"/>
    <mergeCell ref="A9:F9"/>
    <mergeCell ref="E1:F1"/>
  </mergeCells>
  <pageMargins left="0.53" right="0.32" top="0.48" bottom="0.74803149606299213" header="0.31496062992125984" footer="0.31496062992125984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topLeftCell="A8" zoomScale="80" zoomScaleNormal="80" workbookViewId="0">
      <pane ySplit="1" topLeftCell="A26" activePane="bottomLeft" state="frozen"/>
      <selection activeCell="A8" sqref="A8"/>
      <selection pane="bottomLeft" activeCell="N38" sqref="N38"/>
    </sheetView>
  </sheetViews>
  <sheetFormatPr baseColWidth="10" defaultColWidth="11.453125" defaultRowHeight="20.5"/>
  <cols>
    <col min="1" max="1" width="6.81640625" style="132" customWidth="1"/>
    <col min="2" max="2" width="14.26953125" style="132" customWidth="1"/>
    <col min="3" max="3" width="40.36328125" style="132" customWidth="1"/>
    <col min="4" max="4" width="20" style="322" customWidth="1"/>
    <col min="5" max="5" width="25.6328125" style="132" customWidth="1"/>
    <col min="6" max="6" width="20.1796875" style="132" customWidth="1"/>
    <col min="7" max="7" width="18.1796875" style="132" customWidth="1"/>
    <col min="8" max="8" width="18" style="132" customWidth="1"/>
    <col min="9" max="9" width="10.26953125" style="132" customWidth="1"/>
    <col min="10" max="10" width="16.90625" style="132" customWidth="1"/>
    <col min="11" max="11" width="15.81640625" style="132" customWidth="1"/>
    <col min="12" max="12" width="23.7265625" style="132" customWidth="1"/>
    <col min="13" max="13" width="24.26953125" style="322" customWidth="1"/>
    <col min="14" max="14" width="17.7265625" style="342" bestFit="1" customWidth="1"/>
    <col min="15" max="16" width="11.453125" style="132"/>
    <col min="17" max="17" width="16.453125" style="132" bestFit="1" customWidth="1"/>
    <col min="18" max="18" width="23.54296875" style="132" bestFit="1" customWidth="1"/>
    <col min="19" max="16384" width="11.453125" style="132"/>
  </cols>
  <sheetData>
    <row r="1" spans="1:14" ht="21" customHeight="1">
      <c r="A1" s="423" t="s">
        <v>17</v>
      </c>
      <c r="B1" s="423"/>
      <c r="C1" s="423"/>
      <c r="D1" s="423"/>
      <c r="E1" s="423"/>
      <c r="F1" s="215"/>
      <c r="G1" s="424" t="s">
        <v>26</v>
      </c>
      <c r="H1" s="424"/>
      <c r="I1" s="424"/>
      <c r="J1" s="424"/>
      <c r="K1" s="424"/>
      <c r="L1" s="424"/>
      <c r="M1" s="424"/>
    </row>
    <row r="2" spans="1:14" ht="26.25" customHeight="1">
      <c r="A2" s="20" t="s">
        <v>65</v>
      </c>
      <c r="B2" s="20"/>
      <c r="C2" s="316"/>
      <c r="D2" s="241"/>
      <c r="E2" s="215"/>
      <c r="F2" s="215"/>
      <c r="G2" s="215"/>
      <c r="H2" s="215"/>
      <c r="I2" s="215"/>
      <c r="J2" s="215"/>
      <c r="K2" s="215"/>
      <c r="L2" s="215"/>
      <c r="M2" s="241"/>
    </row>
    <row r="3" spans="1:14">
      <c r="A3" s="20" t="s">
        <v>1</v>
      </c>
      <c r="B3" s="215"/>
      <c r="C3" s="313"/>
      <c r="D3" s="241"/>
      <c r="E3" s="215"/>
      <c r="F3" s="215"/>
      <c r="G3" s="215"/>
      <c r="H3" s="215"/>
      <c r="I3" s="215"/>
      <c r="J3" s="215"/>
      <c r="K3" s="215"/>
      <c r="L3" s="215"/>
      <c r="M3" s="241"/>
    </row>
    <row r="4" spans="1:14">
      <c r="A4" s="423" t="s">
        <v>2</v>
      </c>
      <c r="B4" s="423"/>
      <c r="C4" s="423"/>
      <c r="D4" s="423"/>
      <c r="E4" s="423"/>
      <c r="F4" s="215"/>
      <c r="G4" s="215"/>
      <c r="H4" s="215"/>
      <c r="I4" s="215"/>
      <c r="J4" s="215"/>
      <c r="K4" s="215"/>
      <c r="L4" s="215"/>
      <c r="M4" s="241"/>
    </row>
    <row r="5" spans="1:14" s="308" customFormat="1" ht="15.5">
      <c r="A5" s="308" t="s">
        <v>270</v>
      </c>
      <c r="B5" s="309"/>
      <c r="C5" s="309"/>
      <c r="D5" s="321"/>
      <c r="E5" s="309"/>
      <c r="F5" s="310"/>
      <c r="G5" s="310"/>
      <c r="M5" s="323"/>
      <c r="N5" s="343"/>
    </row>
    <row r="6" spans="1:14" ht="39" customHeight="1">
      <c r="A6" s="425" t="s">
        <v>140</v>
      </c>
      <c r="B6" s="425"/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</row>
    <row r="7" spans="1:14" ht="29.25" customHeight="1" thickBot="1">
      <c r="A7" s="426" t="s">
        <v>262</v>
      </c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6"/>
    </row>
    <row r="8" spans="1:14" ht="44.25" customHeight="1" thickBot="1">
      <c r="A8" s="67" t="s">
        <v>74</v>
      </c>
      <c r="B8" s="67" t="s">
        <v>92</v>
      </c>
      <c r="C8" s="67" t="s">
        <v>293</v>
      </c>
      <c r="D8" s="319" t="s">
        <v>71</v>
      </c>
      <c r="E8" s="68" t="s">
        <v>10</v>
      </c>
      <c r="F8" s="68" t="s">
        <v>11</v>
      </c>
      <c r="G8" s="67" t="s">
        <v>7</v>
      </c>
      <c r="H8" s="67" t="s">
        <v>8</v>
      </c>
      <c r="I8" s="67" t="s">
        <v>9</v>
      </c>
      <c r="J8" s="67" t="s">
        <v>64</v>
      </c>
      <c r="K8" s="67" t="s">
        <v>13</v>
      </c>
      <c r="L8" s="68" t="s">
        <v>93</v>
      </c>
      <c r="M8" s="143" t="s">
        <v>55</v>
      </c>
    </row>
    <row r="9" spans="1:14" ht="42.5" thickBot="1">
      <c r="A9" s="50">
        <v>4</v>
      </c>
      <c r="B9" s="50" t="s">
        <v>145</v>
      </c>
      <c r="C9" s="333" t="s">
        <v>286</v>
      </c>
      <c r="D9" s="334" t="s">
        <v>295</v>
      </c>
      <c r="E9" s="335">
        <v>422000</v>
      </c>
      <c r="F9" s="55"/>
      <c r="G9" s="55"/>
      <c r="H9" s="55"/>
      <c r="I9" s="55"/>
      <c r="J9" s="55"/>
      <c r="K9" s="55"/>
      <c r="L9" s="34">
        <f t="shared" ref="L9:L33" si="0">+E9-G9-H9-I9-J9-K9</f>
        <v>422000</v>
      </c>
      <c r="M9" s="332" t="s">
        <v>287</v>
      </c>
      <c r="N9" s="132"/>
    </row>
    <row r="10" spans="1:14" ht="43" customHeight="1" thickBot="1">
      <c r="A10" s="50">
        <v>5</v>
      </c>
      <c r="B10" s="320" t="s">
        <v>144</v>
      </c>
      <c r="C10" s="338" t="s">
        <v>288</v>
      </c>
      <c r="D10" s="339" t="s">
        <v>296</v>
      </c>
      <c r="E10" s="340">
        <v>36000</v>
      </c>
      <c r="F10" s="318"/>
      <c r="G10" s="55"/>
      <c r="H10" s="55"/>
      <c r="I10" s="55"/>
      <c r="J10" s="55"/>
      <c r="K10" s="55"/>
      <c r="L10" s="34">
        <f t="shared" si="0"/>
        <v>36000</v>
      </c>
      <c r="M10" s="332" t="s">
        <v>289</v>
      </c>
      <c r="N10" s="132"/>
    </row>
    <row r="11" spans="1:14" ht="52" customHeight="1" thickBot="1">
      <c r="A11" s="50">
        <v>6</v>
      </c>
      <c r="B11" s="320" t="s">
        <v>160</v>
      </c>
      <c r="C11" s="338" t="s">
        <v>290</v>
      </c>
      <c r="D11" s="339" t="s">
        <v>297</v>
      </c>
      <c r="E11" s="340">
        <v>210000</v>
      </c>
      <c r="F11" s="318"/>
      <c r="G11" s="55"/>
      <c r="H11" s="55"/>
      <c r="I11" s="55"/>
      <c r="J11" s="55"/>
      <c r="K11" s="55"/>
      <c r="L11" s="34">
        <f t="shared" si="0"/>
        <v>210000</v>
      </c>
      <c r="M11" s="332" t="s">
        <v>291</v>
      </c>
      <c r="N11" s="274"/>
    </row>
    <row r="12" spans="1:14" ht="42" customHeight="1" thickBot="1">
      <c r="A12" s="50">
        <v>8</v>
      </c>
      <c r="B12" s="50" t="s">
        <v>145</v>
      </c>
      <c r="C12" s="336" t="s">
        <v>298</v>
      </c>
      <c r="D12" s="337" t="s">
        <v>295</v>
      </c>
      <c r="E12" s="341">
        <v>54000</v>
      </c>
      <c r="F12" s="55"/>
      <c r="G12" s="55"/>
      <c r="H12" s="55"/>
      <c r="I12" s="55"/>
      <c r="J12" s="55"/>
      <c r="K12" s="55"/>
      <c r="L12" s="34">
        <f t="shared" si="0"/>
        <v>54000</v>
      </c>
      <c r="M12" s="332" t="s">
        <v>289</v>
      </c>
      <c r="N12" s="132"/>
    </row>
    <row r="13" spans="1:14" ht="42.5" thickBot="1">
      <c r="A13" s="50">
        <v>9</v>
      </c>
      <c r="B13" s="50" t="s">
        <v>152</v>
      </c>
      <c r="C13" s="50" t="s">
        <v>301</v>
      </c>
      <c r="D13" s="50" t="s">
        <v>299</v>
      </c>
      <c r="E13" s="55">
        <v>19500</v>
      </c>
      <c r="F13" s="55"/>
      <c r="G13" s="55"/>
      <c r="H13" s="55"/>
      <c r="I13" s="55"/>
      <c r="J13" s="55"/>
      <c r="K13" s="55"/>
      <c r="L13" s="34">
        <f t="shared" si="0"/>
        <v>19500</v>
      </c>
      <c r="M13" s="332" t="s">
        <v>300</v>
      </c>
      <c r="N13" s="132"/>
    </row>
    <row r="14" spans="1:14" ht="44" customHeight="1" thickBot="1">
      <c r="A14" s="50">
        <v>10</v>
      </c>
      <c r="B14" s="50" t="s">
        <v>153</v>
      </c>
      <c r="C14" s="50" t="s">
        <v>301</v>
      </c>
      <c r="D14" s="50" t="s">
        <v>302</v>
      </c>
      <c r="E14" s="55">
        <v>23400</v>
      </c>
      <c r="F14" s="55"/>
      <c r="G14" s="55"/>
      <c r="H14" s="55"/>
      <c r="I14" s="55"/>
      <c r="J14" s="55"/>
      <c r="K14" s="55"/>
      <c r="L14" s="34">
        <f t="shared" si="0"/>
        <v>23400</v>
      </c>
      <c r="M14" s="332" t="s">
        <v>303</v>
      </c>
    </row>
    <row r="15" spans="1:14" ht="64.5" customHeight="1" thickBot="1">
      <c r="A15" s="50">
        <v>11</v>
      </c>
      <c r="B15" s="50" t="s">
        <v>154</v>
      </c>
      <c r="C15" s="50" t="s">
        <v>304</v>
      </c>
      <c r="D15" s="50" t="s">
        <v>299</v>
      </c>
      <c r="E15" s="55">
        <v>52500</v>
      </c>
      <c r="F15" s="55"/>
      <c r="G15" s="55"/>
      <c r="H15" s="55"/>
      <c r="I15" s="55"/>
      <c r="J15" s="55"/>
      <c r="K15" s="55"/>
      <c r="L15" s="34">
        <f t="shared" si="0"/>
        <v>52500</v>
      </c>
      <c r="M15" s="332" t="s">
        <v>300</v>
      </c>
      <c r="N15" s="274"/>
    </row>
    <row r="16" spans="1:14" ht="44" customHeight="1" thickBot="1">
      <c r="A16" s="50">
        <v>12</v>
      </c>
      <c r="B16" s="50" t="s">
        <v>155</v>
      </c>
      <c r="C16" s="50" t="s">
        <v>305</v>
      </c>
      <c r="D16" s="50" t="s">
        <v>299</v>
      </c>
      <c r="E16" s="55">
        <v>15960</v>
      </c>
      <c r="F16" s="55"/>
      <c r="G16" s="55"/>
      <c r="H16" s="55"/>
      <c r="I16" s="55"/>
      <c r="J16" s="55"/>
      <c r="K16" s="55"/>
      <c r="L16" s="34">
        <f t="shared" si="0"/>
        <v>15960</v>
      </c>
      <c r="M16" s="332" t="s">
        <v>300</v>
      </c>
      <c r="N16" s="274"/>
    </row>
    <row r="17" spans="1:14" ht="44" customHeight="1" thickBot="1">
      <c r="A17" s="50">
        <v>13</v>
      </c>
      <c r="B17" s="50" t="s">
        <v>156</v>
      </c>
      <c r="C17" s="50" t="s">
        <v>307</v>
      </c>
      <c r="D17" s="50" t="s">
        <v>306</v>
      </c>
      <c r="E17" s="55">
        <v>24000</v>
      </c>
      <c r="F17" s="55"/>
      <c r="G17" s="55"/>
      <c r="H17" s="55"/>
      <c r="I17" s="55"/>
      <c r="J17" s="55"/>
      <c r="K17" s="55"/>
      <c r="L17" s="34">
        <f t="shared" si="0"/>
        <v>24000</v>
      </c>
      <c r="M17" s="332" t="s">
        <v>365</v>
      </c>
      <c r="N17" s="274"/>
    </row>
    <row r="18" spans="1:14" ht="71.5" customHeight="1" thickBot="1">
      <c r="A18" s="50">
        <v>14</v>
      </c>
      <c r="B18" s="50" t="s">
        <v>150</v>
      </c>
      <c r="C18" s="50" t="s">
        <v>308</v>
      </c>
      <c r="D18" s="50" t="s">
        <v>309</v>
      </c>
      <c r="E18" s="55">
        <v>9000</v>
      </c>
      <c r="F18" s="55"/>
      <c r="G18" s="55"/>
      <c r="H18" s="55"/>
      <c r="I18" s="55"/>
      <c r="J18" s="55"/>
      <c r="K18" s="55"/>
      <c r="L18" s="34">
        <f t="shared" si="0"/>
        <v>9000</v>
      </c>
      <c r="M18" s="332" t="s">
        <v>303</v>
      </c>
    </row>
    <row r="19" spans="1:14" ht="44" customHeight="1" thickBot="1">
      <c r="A19" s="50">
        <v>15</v>
      </c>
      <c r="B19" s="50" t="s">
        <v>150</v>
      </c>
      <c r="C19" s="50" t="s">
        <v>308</v>
      </c>
      <c r="D19" s="50" t="s">
        <v>194</v>
      </c>
      <c r="E19" s="55">
        <v>39000</v>
      </c>
      <c r="F19" s="55"/>
      <c r="G19" s="55"/>
      <c r="H19" s="55"/>
      <c r="I19" s="55"/>
      <c r="J19" s="55"/>
      <c r="K19" s="55"/>
      <c r="L19" s="34">
        <f t="shared" si="0"/>
        <v>39000</v>
      </c>
      <c r="M19" s="332" t="s">
        <v>310</v>
      </c>
      <c r="N19" s="274"/>
    </row>
    <row r="20" spans="1:14" ht="44" customHeight="1" thickBot="1">
      <c r="A20" s="50">
        <v>16</v>
      </c>
      <c r="B20" s="50" t="s">
        <v>149</v>
      </c>
      <c r="C20" s="50" t="s">
        <v>311</v>
      </c>
      <c r="D20" s="50" t="s">
        <v>306</v>
      </c>
      <c r="E20" s="55">
        <v>25500</v>
      </c>
      <c r="F20" s="55"/>
      <c r="G20" s="55"/>
      <c r="H20" s="55"/>
      <c r="I20" s="55"/>
      <c r="J20" s="55"/>
      <c r="K20" s="55"/>
      <c r="L20" s="34">
        <f t="shared" si="0"/>
        <v>25500</v>
      </c>
      <c r="M20" s="332" t="s">
        <v>312</v>
      </c>
      <c r="N20" s="274"/>
    </row>
    <row r="21" spans="1:14" ht="44" customHeight="1" thickBot="1">
      <c r="A21" s="50">
        <v>17</v>
      </c>
      <c r="B21" s="50" t="s">
        <v>145</v>
      </c>
      <c r="C21" s="317" t="s">
        <v>313</v>
      </c>
      <c r="D21" s="320" t="s">
        <v>295</v>
      </c>
      <c r="E21" s="55">
        <v>51000</v>
      </c>
      <c r="F21" s="55"/>
      <c r="G21" s="55"/>
      <c r="H21" s="55"/>
      <c r="I21" s="55"/>
      <c r="J21" s="55"/>
      <c r="K21" s="55"/>
      <c r="L21" s="34">
        <f t="shared" si="0"/>
        <v>51000</v>
      </c>
      <c r="M21" s="332" t="s">
        <v>314</v>
      </c>
    </row>
    <row r="22" spans="1:14" ht="44" customHeight="1" thickBot="1">
      <c r="A22" s="50">
        <v>19</v>
      </c>
      <c r="B22" s="50" t="s">
        <v>146</v>
      </c>
      <c r="C22" s="50" t="s">
        <v>315</v>
      </c>
      <c r="D22" s="50" t="s">
        <v>316</v>
      </c>
      <c r="E22" s="55">
        <v>9000</v>
      </c>
      <c r="F22" s="55"/>
      <c r="G22" s="55"/>
      <c r="H22" s="55"/>
      <c r="I22" s="55"/>
      <c r="J22" s="55">
        <v>360</v>
      </c>
      <c r="K22" s="55">
        <v>90</v>
      </c>
      <c r="L22" s="34">
        <f t="shared" si="0"/>
        <v>8550</v>
      </c>
      <c r="M22" s="332" t="s">
        <v>317</v>
      </c>
    </row>
    <row r="23" spans="1:14" ht="44" customHeight="1" thickBot="1">
      <c r="A23" s="50">
        <v>20</v>
      </c>
      <c r="B23" s="50" t="s">
        <v>147</v>
      </c>
      <c r="C23" s="50" t="s">
        <v>318</v>
      </c>
      <c r="D23" s="50" t="s">
        <v>13</v>
      </c>
      <c r="E23" s="55">
        <f>L23</f>
        <v>1170</v>
      </c>
      <c r="F23" s="55"/>
      <c r="G23" s="55"/>
      <c r="H23" s="55"/>
      <c r="I23" s="55"/>
      <c r="J23" s="55"/>
      <c r="K23" s="55"/>
      <c r="L23" s="34">
        <v>1170</v>
      </c>
      <c r="M23" s="324" t="s">
        <v>319</v>
      </c>
      <c r="N23" s="274"/>
    </row>
    <row r="24" spans="1:14" ht="44" customHeight="1" thickBot="1">
      <c r="A24" s="50">
        <v>21</v>
      </c>
      <c r="B24" s="50" t="s">
        <v>148</v>
      </c>
      <c r="C24" s="50" t="s">
        <v>320</v>
      </c>
      <c r="D24" s="50" t="s">
        <v>64</v>
      </c>
      <c r="E24" s="55">
        <f>L24</f>
        <v>450</v>
      </c>
      <c r="F24" s="55"/>
      <c r="G24" s="55"/>
      <c r="H24" s="55"/>
      <c r="I24" s="55"/>
      <c r="J24" s="55"/>
      <c r="K24" s="55"/>
      <c r="L24" s="34">
        <v>450</v>
      </c>
      <c r="M24" s="324" t="s">
        <v>319</v>
      </c>
      <c r="N24" s="274"/>
    </row>
    <row r="25" spans="1:14" ht="44" customHeight="1" thickBot="1">
      <c r="A25" s="50">
        <v>22</v>
      </c>
      <c r="B25" s="50" t="s">
        <v>146</v>
      </c>
      <c r="C25" s="50" t="s">
        <v>321</v>
      </c>
      <c r="D25" s="50" t="s">
        <v>316</v>
      </c>
      <c r="E25" s="55">
        <v>9000</v>
      </c>
      <c r="F25" s="55"/>
      <c r="G25" s="55"/>
      <c r="H25" s="55"/>
      <c r="I25" s="55"/>
      <c r="J25" s="55">
        <v>360</v>
      </c>
      <c r="K25" s="55">
        <v>90</v>
      </c>
      <c r="L25" s="34">
        <f t="shared" si="0"/>
        <v>8550</v>
      </c>
      <c r="M25" s="332" t="s">
        <v>317</v>
      </c>
    </row>
    <row r="26" spans="1:14" ht="44" customHeight="1" thickBot="1">
      <c r="A26" s="50">
        <v>23</v>
      </c>
      <c r="B26" s="50" t="s">
        <v>147</v>
      </c>
      <c r="C26" s="50" t="s">
        <v>318</v>
      </c>
      <c r="D26" s="50" t="s">
        <v>13</v>
      </c>
      <c r="E26" s="55">
        <f>L26</f>
        <v>1170</v>
      </c>
      <c r="F26" s="55"/>
      <c r="G26" s="55"/>
      <c r="H26" s="55"/>
      <c r="I26" s="55"/>
      <c r="J26" s="55"/>
      <c r="K26" s="55"/>
      <c r="L26" s="34">
        <v>1170</v>
      </c>
      <c r="M26" s="324"/>
      <c r="N26" s="274"/>
    </row>
    <row r="27" spans="1:14" ht="44" customHeight="1" thickBot="1">
      <c r="A27" s="50">
        <v>24</v>
      </c>
      <c r="B27" s="50" t="s">
        <v>148</v>
      </c>
      <c r="C27" s="50" t="s">
        <v>320</v>
      </c>
      <c r="D27" s="50" t="s">
        <v>64</v>
      </c>
      <c r="E27" s="55">
        <f>L27</f>
        <v>450</v>
      </c>
      <c r="F27" s="55"/>
      <c r="G27" s="55"/>
      <c r="H27" s="55"/>
      <c r="I27" s="55"/>
      <c r="J27" s="55"/>
      <c r="K27" s="55"/>
      <c r="L27" s="34">
        <v>450</v>
      </c>
      <c r="M27" s="324"/>
      <c r="N27" s="274"/>
    </row>
    <row r="28" spans="1:14" ht="44" customHeight="1" thickBot="1">
      <c r="A28" s="50">
        <v>25</v>
      </c>
      <c r="B28" s="50" t="s">
        <v>146</v>
      </c>
      <c r="C28" s="50" t="s">
        <v>322</v>
      </c>
      <c r="D28" s="50" t="s">
        <v>316</v>
      </c>
      <c r="E28" s="55">
        <v>9000</v>
      </c>
      <c r="F28" s="55"/>
      <c r="G28" s="55"/>
      <c r="H28" s="55"/>
      <c r="I28" s="55"/>
      <c r="J28" s="55">
        <v>360</v>
      </c>
      <c r="K28" s="55">
        <v>90</v>
      </c>
      <c r="L28" s="34">
        <f t="shared" si="0"/>
        <v>8550</v>
      </c>
      <c r="M28" s="332" t="s">
        <v>317</v>
      </c>
    </row>
    <row r="29" spans="1:14" ht="44" customHeight="1" thickBot="1">
      <c r="A29" s="50">
        <v>26</v>
      </c>
      <c r="B29" s="50" t="s">
        <v>147</v>
      </c>
      <c r="C29" s="50" t="s">
        <v>318</v>
      </c>
      <c r="D29" s="50" t="s">
        <v>13</v>
      </c>
      <c r="E29" s="55">
        <f>L29</f>
        <v>1170</v>
      </c>
      <c r="F29" s="55"/>
      <c r="G29" s="55"/>
      <c r="H29" s="55"/>
      <c r="I29" s="55"/>
      <c r="J29" s="55"/>
      <c r="K29" s="55"/>
      <c r="L29" s="34">
        <v>1170</v>
      </c>
      <c r="M29" s="324"/>
      <c r="N29" s="274"/>
    </row>
    <row r="30" spans="1:14" ht="44" customHeight="1" thickBot="1">
      <c r="A30" s="50">
        <v>27</v>
      </c>
      <c r="B30" s="50" t="s">
        <v>148</v>
      </c>
      <c r="C30" s="50" t="s">
        <v>320</v>
      </c>
      <c r="D30" s="50" t="s">
        <v>64</v>
      </c>
      <c r="E30" s="55">
        <f>L30</f>
        <v>450</v>
      </c>
      <c r="F30" s="55"/>
      <c r="G30" s="55"/>
      <c r="H30" s="55"/>
      <c r="I30" s="55"/>
      <c r="J30" s="55"/>
      <c r="K30" s="55"/>
      <c r="L30" s="34">
        <v>450</v>
      </c>
      <c r="M30" s="324"/>
      <c r="N30" s="274"/>
    </row>
    <row r="31" spans="1:14" ht="59.5" customHeight="1" thickBot="1">
      <c r="A31" s="50">
        <v>74</v>
      </c>
      <c r="B31" s="50" t="s">
        <v>152</v>
      </c>
      <c r="C31" s="50" t="s">
        <v>323</v>
      </c>
      <c r="D31" s="50" t="s">
        <v>324</v>
      </c>
      <c r="E31" s="55">
        <v>19500</v>
      </c>
      <c r="F31" s="55"/>
      <c r="G31" s="55"/>
      <c r="H31" s="55"/>
      <c r="I31" s="55"/>
      <c r="J31" s="55"/>
      <c r="K31" s="55"/>
      <c r="L31" s="34">
        <f>+E31</f>
        <v>19500</v>
      </c>
      <c r="M31" s="332" t="s">
        <v>366</v>
      </c>
      <c r="N31" s="274"/>
    </row>
    <row r="32" spans="1:14" ht="81" customHeight="1" thickBot="1">
      <c r="A32" s="50">
        <v>76</v>
      </c>
      <c r="B32" s="50" t="s">
        <v>154</v>
      </c>
      <c r="C32" s="50" t="s">
        <v>325</v>
      </c>
      <c r="D32" s="50" t="s">
        <v>324</v>
      </c>
      <c r="E32" s="55">
        <v>52500</v>
      </c>
      <c r="F32" s="55"/>
      <c r="G32" s="55"/>
      <c r="H32" s="55"/>
      <c r="I32" s="55"/>
      <c r="J32" s="55"/>
      <c r="K32" s="55"/>
      <c r="L32" s="34">
        <f t="shared" si="0"/>
        <v>52500</v>
      </c>
      <c r="M32" s="332" t="s">
        <v>326</v>
      </c>
      <c r="N32" s="274"/>
    </row>
    <row r="33" spans="1:18" ht="68" customHeight="1" thickBot="1">
      <c r="A33" s="50">
        <v>77</v>
      </c>
      <c r="B33" s="50" t="s">
        <v>155</v>
      </c>
      <c r="C33" s="50" t="s">
        <v>327</v>
      </c>
      <c r="D33" s="50" t="s">
        <v>324</v>
      </c>
      <c r="E33" s="55">
        <v>15960</v>
      </c>
      <c r="F33" s="55"/>
      <c r="G33" s="55"/>
      <c r="H33" s="55"/>
      <c r="I33" s="55"/>
      <c r="J33" s="55"/>
      <c r="K33" s="55"/>
      <c r="L33" s="34">
        <f t="shared" si="0"/>
        <v>15960</v>
      </c>
      <c r="M33" s="332" t="s">
        <v>326</v>
      </c>
      <c r="N33" s="274"/>
    </row>
    <row r="34" spans="1:18" ht="44" customHeight="1" thickBot="1">
      <c r="A34" s="50">
        <v>78</v>
      </c>
      <c r="B34" s="50" t="s">
        <v>156</v>
      </c>
      <c r="C34" s="50" t="s">
        <v>328</v>
      </c>
      <c r="D34" s="50" t="s">
        <v>306</v>
      </c>
      <c r="E34" s="55">
        <v>24000</v>
      </c>
      <c r="F34" s="55"/>
      <c r="G34" s="55"/>
      <c r="H34" s="55"/>
      <c r="I34" s="55"/>
      <c r="J34" s="55"/>
      <c r="K34" s="55"/>
      <c r="L34" s="34">
        <f>+E34-G34-H34-I34-J34-K34</f>
        <v>24000</v>
      </c>
      <c r="M34" s="332" t="s">
        <v>312</v>
      </c>
      <c r="N34" s="274"/>
    </row>
    <row r="35" spans="1:18" ht="37.5" customHeight="1" thickBot="1">
      <c r="A35" s="420" t="s">
        <v>32</v>
      </c>
      <c r="B35" s="421"/>
      <c r="C35" s="421"/>
      <c r="D35" s="422"/>
      <c r="E35" s="60">
        <f t="shared" ref="E35:L35" si="1">SUM(E9:E34)</f>
        <v>1125680</v>
      </c>
      <c r="F35" s="60">
        <f t="shared" si="1"/>
        <v>0</v>
      </c>
      <c r="G35" s="60">
        <f t="shared" si="1"/>
        <v>0</v>
      </c>
      <c r="H35" s="60">
        <f t="shared" si="1"/>
        <v>0</v>
      </c>
      <c r="I35" s="60">
        <f t="shared" si="1"/>
        <v>0</v>
      </c>
      <c r="J35" s="60">
        <f t="shared" si="1"/>
        <v>1080</v>
      </c>
      <c r="K35" s="60">
        <f t="shared" si="1"/>
        <v>270</v>
      </c>
      <c r="L35" s="60">
        <f t="shared" si="1"/>
        <v>1124330</v>
      </c>
      <c r="M35" s="325"/>
      <c r="N35" s="132"/>
    </row>
    <row r="36" spans="1:18" ht="42.5" thickBot="1">
      <c r="A36" s="50">
        <v>1</v>
      </c>
      <c r="B36" s="50" t="s">
        <v>282</v>
      </c>
      <c r="C36" s="50" t="s">
        <v>329</v>
      </c>
      <c r="D36" s="50" t="s">
        <v>283</v>
      </c>
      <c r="E36" s="55">
        <v>375000</v>
      </c>
      <c r="F36" s="34"/>
      <c r="G36" s="55"/>
      <c r="H36" s="55">
        <f>+E36*0.03</f>
        <v>11250</v>
      </c>
      <c r="I36" s="55"/>
      <c r="J36" s="55"/>
      <c r="K36" s="55"/>
      <c r="L36" s="34">
        <f>+E36-G36-H36-I36-J36-K36</f>
        <v>363750</v>
      </c>
      <c r="M36" s="332" t="s">
        <v>364</v>
      </c>
      <c r="N36" s="274"/>
    </row>
    <row r="37" spans="1:18" ht="42.5" thickBot="1">
      <c r="A37" s="50">
        <v>2</v>
      </c>
      <c r="B37" s="50" t="s">
        <v>282</v>
      </c>
      <c r="C37" s="50" t="s">
        <v>329</v>
      </c>
      <c r="D37" s="50" t="s">
        <v>283</v>
      </c>
      <c r="E37" s="55">
        <v>240000</v>
      </c>
      <c r="F37" s="34"/>
      <c r="G37" s="55"/>
      <c r="H37" s="55">
        <f>+E37*0.03</f>
        <v>7200</v>
      </c>
      <c r="I37" s="55"/>
      <c r="J37" s="55"/>
      <c r="K37" s="55"/>
      <c r="L37" s="34">
        <f t="shared" ref="L37:L45" si="2">+E37-G37-H37-I37-J37-K37</f>
        <v>232800</v>
      </c>
      <c r="M37" s="332" t="s">
        <v>364</v>
      </c>
      <c r="N37" s="274"/>
      <c r="R37" s="131"/>
    </row>
    <row r="38" spans="1:18" ht="42.5" thickBot="1">
      <c r="A38" s="50">
        <v>3</v>
      </c>
      <c r="B38" s="50" t="s">
        <v>282</v>
      </c>
      <c r="C38" s="50" t="s">
        <v>329</v>
      </c>
      <c r="D38" s="50" t="s">
        <v>285</v>
      </c>
      <c r="E38" s="55">
        <v>370000</v>
      </c>
      <c r="F38" s="34"/>
      <c r="G38" s="55"/>
      <c r="H38" s="55">
        <f>+E38*0.03</f>
        <v>11100</v>
      </c>
      <c r="I38" s="55"/>
      <c r="J38" s="55"/>
      <c r="K38" s="55"/>
      <c r="L38" s="34">
        <f t="shared" si="2"/>
        <v>358900</v>
      </c>
      <c r="M38" s="332" t="s">
        <v>284</v>
      </c>
      <c r="N38" s="274"/>
    </row>
    <row r="39" spans="1:18" ht="49.5" customHeight="1" thickBot="1">
      <c r="A39" s="50">
        <v>7</v>
      </c>
      <c r="B39" s="50" t="s">
        <v>292</v>
      </c>
      <c r="C39" s="50" t="s">
        <v>294</v>
      </c>
      <c r="D39" s="50" t="s">
        <v>285</v>
      </c>
      <c r="E39" s="55">
        <v>295000</v>
      </c>
      <c r="F39" s="34"/>
      <c r="G39" s="55"/>
      <c r="H39" s="55">
        <f>+E39*0.03</f>
        <v>8850</v>
      </c>
      <c r="I39" s="55"/>
      <c r="J39" s="55"/>
      <c r="K39" s="55"/>
      <c r="L39" s="34">
        <f t="shared" si="2"/>
        <v>286150</v>
      </c>
      <c r="M39" s="332" t="s">
        <v>291</v>
      </c>
      <c r="N39" s="274"/>
    </row>
    <row r="40" spans="1:18" ht="82.5" customHeight="1" thickBot="1">
      <c r="D40" s="132"/>
      <c r="F40" s="34"/>
      <c r="G40" s="55"/>
      <c r="H40" s="55"/>
      <c r="I40" s="55"/>
      <c r="J40" s="55"/>
      <c r="K40" s="55"/>
      <c r="L40" s="34">
        <f>+E31-G40-H40-I40-J40-K40</f>
        <v>19500</v>
      </c>
      <c r="M40" s="324"/>
      <c r="N40" s="274"/>
    </row>
    <row r="41" spans="1:18" ht="49.5" customHeight="1" thickBot="1">
      <c r="A41" s="50"/>
      <c r="B41" s="50"/>
      <c r="C41" s="50"/>
      <c r="D41" s="50"/>
      <c r="E41" s="55"/>
      <c r="F41" s="34"/>
      <c r="G41" s="55"/>
      <c r="H41" s="55"/>
      <c r="I41" s="55"/>
      <c r="J41" s="55"/>
      <c r="K41" s="55"/>
      <c r="L41" s="34"/>
      <c r="M41" s="324"/>
      <c r="N41" s="274"/>
    </row>
    <row r="42" spans="1:18" ht="49.5" customHeight="1" thickBot="1">
      <c r="A42" s="50"/>
      <c r="B42" s="50"/>
      <c r="C42" s="50"/>
      <c r="D42" s="50"/>
      <c r="E42" s="55"/>
      <c r="F42" s="34"/>
      <c r="G42" s="55"/>
      <c r="H42" s="55"/>
      <c r="I42" s="55"/>
      <c r="J42" s="55"/>
      <c r="K42" s="55"/>
      <c r="L42" s="34"/>
      <c r="M42" s="324"/>
      <c r="N42" s="274"/>
    </row>
    <row r="43" spans="1:18" ht="49.5" customHeight="1" thickBot="1">
      <c r="A43" s="50"/>
      <c r="B43" s="50"/>
      <c r="C43" s="50"/>
      <c r="D43" s="50"/>
      <c r="E43" s="55"/>
      <c r="F43" s="34"/>
      <c r="G43" s="55"/>
      <c r="H43" s="55"/>
      <c r="I43" s="55"/>
      <c r="J43" s="55"/>
      <c r="K43" s="55"/>
      <c r="L43" s="34"/>
      <c r="M43" s="324"/>
      <c r="N43" s="274"/>
    </row>
    <row r="44" spans="1:18" ht="49.5" customHeight="1" thickBot="1">
      <c r="A44" s="50"/>
      <c r="B44" s="50"/>
      <c r="C44" s="50"/>
      <c r="D44" s="50"/>
      <c r="E44" s="55"/>
      <c r="F44" s="34"/>
      <c r="G44" s="55"/>
      <c r="H44" s="55"/>
      <c r="I44" s="55"/>
      <c r="J44" s="55"/>
      <c r="K44" s="55"/>
      <c r="L44" s="34"/>
      <c r="M44" s="324"/>
      <c r="N44" s="274"/>
    </row>
    <row r="45" spans="1:18" ht="21.5" thickBot="1">
      <c r="A45" s="50"/>
      <c r="B45" s="50"/>
      <c r="C45" s="50"/>
      <c r="D45" s="50"/>
      <c r="E45" s="55"/>
      <c r="F45" s="34"/>
      <c r="G45" s="55"/>
      <c r="H45" s="55"/>
      <c r="I45" s="55"/>
      <c r="J45" s="55"/>
      <c r="K45" s="55"/>
      <c r="L45" s="34">
        <f t="shared" si="2"/>
        <v>0</v>
      </c>
      <c r="M45" s="324"/>
      <c r="N45" s="274"/>
    </row>
    <row r="46" spans="1:18" ht="40.5" customHeight="1" thickBot="1">
      <c r="A46" s="420" t="s">
        <v>37</v>
      </c>
      <c r="B46" s="421"/>
      <c r="C46" s="421"/>
      <c r="D46" s="422"/>
      <c r="E46" s="60">
        <f>SUM(E36:E45)</f>
        <v>1280000</v>
      </c>
      <c r="F46" s="60">
        <f t="shared" ref="F46:G46" si="3">SUM(F36:F45)</f>
        <v>0</v>
      </c>
      <c r="G46" s="60">
        <f t="shared" si="3"/>
        <v>0</v>
      </c>
      <c r="H46" s="60">
        <f>SUM(H36:H45)</f>
        <v>38400</v>
      </c>
      <c r="I46" s="60">
        <f t="shared" ref="I46:L46" si="4">SUM(I36:I45)</f>
        <v>0</v>
      </c>
      <c r="J46" s="60">
        <f t="shared" si="4"/>
        <v>0</v>
      </c>
      <c r="K46" s="60">
        <f t="shared" si="4"/>
        <v>0</v>
      </c>
      <c r="L46" s="60">
        <f t="shared" si="4"/>
        <v>1261100</v>
      </c>
      <c r="M46" s="326"/>
      <c r="N46" s="132"/>
    </row>
    <row r="47" spans="1:18" ht="15.75" customHeight="1" thickBot="1">
      <c r="A47" s="427"/>
      <c r="B47" s="428"/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</row>
    <row r="48" spans="1:18" ht="44.25" customHeight="1" thickBot="1">
      <c r="A48" s="429" t="s">
        <v>14</v>
      </c>
      <c r="B48" s="430"/>
      <c r="C48" s="430"/>
      <c r="D48" s="431"/>
      <c r="E48" s="46">
        <f t="shared" ref="E48:L48" si="5">+E35+E46</f>
        <v>2405680</v>
      </c>
      <c r="F48" s="46">
        <f t="shared" si="5"/>
        <v>0</v>
      </c>
      <c r="G48" s="46">
        <f t="shared" si="5"/>
        <v>0</v>
      </c>
      <c r="H48" s="46">
        <f>+H35+H46</f>
        <v>38400</v>
      </c>
      <c r="I48" s="46">
        <f t="shared" si="5"/>
        <v>0</v>
      </c>
      <c r="J48" s="46">
        <f t="shared" si="5"/>
        <v>1080</v>
      </c>
      <c r="K48" s="46">
        <f t="shared" si="5"/>
        <v>270</v>
      </c>
      <c r="L48" s="46">
        <f t="shared" si="5"/>
        <v>2385430</v>
      </c>
      <c r="M48" s="327"/>
    </row>
    <row r="50" spans="1:13">
      <c r="A50" s="11" t="str">
        <f>+'RECETTES  QUITT '!A20</f>
        <v>Effectuée le 16/05/2024</v>
      </c>
      <c r="E50" s="147"/>
    </row>
    <row r="51" spans="1:13" ht="23.5">
      <c r="A51" s="18" t="str">
        <f>'P V '!A44:D44</f>
        <v>Les Missionnaires</v>
      </c>
      <c r="E51" s="360" t="s">
        <v>15</v>
      </c>
      <c r="F51" s="360"/>
      <c r="G51" s="360"/>
      <c r="H51" s="360"/>
      <c r="I51" s="360"/>
      <c r="J51" s="360"/>
      <c r="K51" s="359" t="s">
        <v>33</v>
      </c>
      <c r="L51" s="359"/>
      <c r="M51" s="359"/>
    </row>
    <row r="56" spans="1:13">
      <c r="L56" s="131"/>
    </row>
  </sheetData>
  <autoFilter ref="A8:M46"/>
  <mergeCells count="11">
    <mergeCell ref="A46:D46"/>
    <mergeCell ref="A47:M47"/>
    <mergeCell ref="A48:D48"/>
    <mergeCell ref="E51:J51"/>
    <mergeCell ref="K51:M51"/>
    <mergeCell ref="A35:D35"/>
    <mergeCell ref="A1:E1"/>
    <mergeCell ref="G1:M1"/>
    <mergeCell ref="A4:E4"/>
    <mergeCell ref="A6:M6"/>
    <mergeCell ref="A7:M7"/>
  </mergeCells>
  <phoneticPr fontId="48" type="noConversion"/>
  <pageMargins left="0.2" right="0.13" top="0.42" bottom="0.23" header="0.2" footer="0.2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5" workbookViewId="0">
      <selection activeCell="E21" sqref="E21"/>
    </sheetView>
  </sheetViews>
  <sheetFormatPr baseColWidth="10" defaultColWidth="11.453125" defaultRowHeight="14.5"/>
  <cols>
    <col min="1" max="1" width="12.1796875" style="5" customWidth="1"/>
    <col min="2" max="2" width="15.54296875" style="5" customWidth="1"/>
    <col min="3" max="3" width="28" style="49" customWidth="1"/>
    <col min="4" max="4" width="29" style="311" customWidth="1"/>
    <col min="5" max="5" width="27.26953125" style="5" customWidth="1"/>
    <col min="6" max="7" width="11.453125" style="4"/>
    <col min="8" max="8" width="17.1796875" style="4" bestFit="1" customWidth="1"/>
    <col min="9" max="9" width="12.81640625" style="4" bestFit="1" customWidth="1"/>
    <col min="10" max="16384" width="11.453125" style="4"/>
  </cols>
  <sheetData>
    <row r="1" spans="1:8" ht="22">
      <c r="A1" s="436" t="s">
        <v>0</v>
      </c>
      <c r="B1" s="436"/>
      <c r="C1" s="436"/>
      <c r="D1" s="437" t="s">
        <v>34</v>
      </c>
      <c r="E1" s="437"/>
    </row>
    <row r="2" spans="1:8" ht="22">
      <c r="A2" s="228" t="s">
        <v>51</v>
      </c>
      <c r="B2" s="228"/>
      <c r="C2" s="233"/>
      <c r="D2" s="229"/>
      <c r="E2" s="222"/>
    </row>
    <row r="3" spans="1:8" ht="22">
      <c r="A3" s="249" t="s">
        <v>1</v>
      </c>
      <c r="B3" s="249"/>
      <c r="C3" s="250"/>
      <c r="D3" s="233"/>
      <c r="E3" s="222"/>
    </row>
    <row r="4" spans="1:8" ht="22">
      <c r="A4" s="228" t="s">
        <v>2</v>
      </c>
      <c r="B4" s="228"/>
      <c r="C4" s="233"/>
      <c r="D4" s="329"/>
      <c r="E4" s="222"/>
    </row>
    <row r="6" spans="1:8" s="308" customFormat="1" ht="15.5">
      <c r="A6" s="308" t="s">
        <v>270</v>
      </c>
      <c r="B6" s="309"/>
      <c r="C6" s="309"/>
      <c r="D6" s="321"/>
      <c r="E6" s="310"/>
      <c r="F6" s="310"/>
    </row>
    <row r="11" spans="1:8" s="91" customFormat="1" ht="30.75" customHeight="1">
      <c r="A11" s="438" t="s">
        <v>141</v>
      </c>
      <c r="B11" s="438"/>
      <c r="C11" s="438"/>
      <c r="D11" s="438"/>
      <c r="E11" s="438"/>
    </row>
    <row r="12" spans="1:8" ht="26.25" customHeight="1" thickBot="1">
      <c r="A12" s="439" t="s">
        <v>262</v>
      </c>
      <c r="B12" s="439"/>
      <c r="C12" s="439"/>
      <c r="D12" s="439"/>
      <c r="E12" s="439"/>
    </row>
    <row r="13" spans="1:8" s="91" customFormat="1" ht="31.5" customHeight="1" thickBot="1">
      <c r="A13" s="44" t="s">
        <v>75</v>
      </c>
      <c r="B13" s="44" t="s">
        <v>92</v>
      </c>
      <c r="C13" s="44" t="s">
        <v>45</v>
      </c>
      <c r="D13" s="328" t="s">
        <v>46</v>
      </c>
      <c r="E13" s="44" t="s">
        <v>42</v>
      </c>
    </row>
    <row r="14" spans="1:8" s="91" customFormat="1" ht="31.5" customHeight="1" thickBot="1">
      <c r="A14" s="315">
        <v>4</v>
      </c>
      <c r="B14" s="50" t="s">
        <v>345</v>
      </c>
      <c r="C14" s="50"/>
      <c r="D14" s="330" t="s">
        <v>348</v>
      </c>
      <c r="E14" s="56">
        <v>10000</v>
      </c>
    </row>
    <row r="15" spans="1:8" s="91" customFormat="1" ht="21.5" thickBot="1">
      <c r="A15" s="57">
        <v>5</v>
      </c>
      <c r="B15" s="50" t="s">
        <v>345</v>
      </c>
      <c r="C15" s="50" t="s">
        <v>347</v>
      </c>
      <c r="D15" s="330" t="s">
        <v>348</v>
      </c>
      <c r="E15" s="56">
        <v>15000</v>
      </c>
      <c r="H15" s="91" t="s">
        <v>21</v>
      </c>
    </row>
    <row r="16" spans="1:8" s="91" customFormat="1" ht="21.5" thickBot="1">
      <c r="A16" s="57">
        <v>6</v>
      </c>
      <c r="B16" s="50" t="s">
        <v>345</v>
      </c>
      <c r="C16" s="50" t="s">
        <v>349</v>
      </c>
      <c r="D16" s="330" t="s">
        <v>348</v>
      </c>
      <c r="E16" s="56">
        <v>222857</v>
      </c>
    </row>
    <row r="17" spans="1:5" s="91" customFormat="1" ht="21.5" thickBot="1">
      <c r="A17" s="57"/>
      <c r="B17" s="50"/>
      <c r="C17" s="50"/>
      <c r="D17" s="330"/>
      <c r="E17" s="56"/>
    </row>
    <row r="18" spans="1:5" s="91" customFormat="1" ht="21.5" thickBot="1">
      <c r="A18" s="57"/>
      <c r="B18" s="50"/>
      <c r="C18" s="50"/>
      <c r="D18" s="330"/>
      <c r="E18" s="56"/>
    </row>
    <row r="19" spans="1:5" s="91" customFormat="1" ht="21.5" thickBot="1">
      <c r="A19" s="57"/>
      <c r="B19" s="50"/>
      <c r="C19" s="50"/>
      <c r="D19" s="330"/>
      <c r="E19" s="56"/>
    </row>
    <row r="20" spans="1:5" s="91" customFormat="1" ht="28.5" customHeight="1" thickBot="1">
      <c r="A20" s="432" t="s">
        <v>35</v>
      </c>
      <c r="B20" s="432"/>
      <c r="C20" s="432"/>
      <c r="D20" s="432"/>
      <c r="E20" s="30">
        <f>SUM(E14:E19)</f>
        <v>247857</v>
      </c>
    </row>
    <row r="21" spans="1:5" s="91" customFormat="1" ht="21.5" thickBot="1">
      <c r="A21" s="32"/>
      <c r="B21" s="32"/>
      <c r="C21" s="32"/>
      <c r="D21" s="330"/>
      <c r="E21" s="33"/>
    </row>
    <row r="22" spans="1:5" ht="21.5" thickBot="1">
      <c r="A22" s="32"/>
      <c r="B22" s="32"/>
      <c r="C22" s="32"/>
      <c r="D22" s="330"/>
      <c r="E22" s="33"/>
    </row>
    <row r="23" spans="1:5" ht="29.25" customHeight="1" thickBot="1">
      <c r="A23" s="432" t="s">
        <v>36</v>
      </c>
      <c r="B23" s="432"/>
      <c r="C23" s="432"/>
      <c r="D23" s="432"/>
      <c r="E23" s="30">
        <f>SUM(E21:E22)</f>
        <v>0</v>
      </c>
    </row>
    <row r="24" spans="1:5" ht="21.5" thickBot="1">
      <c r="A24" s="433"/>
      <c r="B24" s="433"/>
      <c r="C24" s="433"/>
      <c r="D24" s="433"/>
      <c r="E24" s="433"/>
    </row>
    <row r="25" spans="1:5" ht="24.75" customHeight="1" thickBot="1">
      <c r="A25" s="434" t="s">
        <v>43</v>
      </c>
      <c r="B25" s="434"/>
      <c r="C25" s="434"/>
      <c r="D25" s="434"/>
      <c r="E25" s="29">
        <f>+E20+E23</f>
        <v>247857</v>
      </c>
    </row>
    <row r="26" spans="1:5" ht="8.25" customHeight="1"/>
    <row r="27" spans="1:5" ht="24.75" customHeight="1">
      <c r="A27" s="4"/>
      <c r="B27" s="4"/>
      <c r="C27" s="51"/>
      <c r="D27" s="331"/>
      <c r="E27" s="4"/>
    </row>
    <row r="28" spans="1:5" ht="18.5">
      <c r="A28" s="11" t="str">
        <f>+'RECETTES  QUITT '!A20</f>
        <v>Effectuée le 16/05/2024</v>
      </c>
      <c r="B28" s="4"/>
      <c r="C28" s="51"/>
      <c r="D28" s="331"/>
      <c r="E28" s="4"/>
    </row>
    <row r="29" spans="1:5" ht="18.5">
      <c r="A29" s="11"/>
      <c r="B29" s="4"/>
      <c r="C29" s="51"/>
      <c r="D29" s="331"/>
      <c r="E29" s="4"/>
    </row>
    <row r="30" spans="1:5" ht="21">
      <c r="A30" s="22" t="str">
        <f>'P V '!A44:D44</f>
        <v>Les Missionnaires</v>
      </c>
      <c r="B30" s="22"/>
      <c r="C30" s="435" t="s">
        <v>15</v>
      </c>
      <c r="D30" s="435"/>
      <c r="E30" s="25" t="s">
        <v>33</v>
      </c>
    </row>
  </sheetData>
  <autoFilter ref="A13:E18"/>
  <mergeCells count="9">
    <mergeCell ref="A23:D23"/>
    <mergeCell ref="A24:E24"/>
    <mergeCell ref="A25:D25"/>
    <mergeCell ref="C30:D30"/>
    <mergeCell ref="A1:C1"/>
    <mergeCell ref="D1:E1"/>
    <mergeCell ref="A11:E11"/>
    <mergeCell ref="A12:E12"/>
    <mergeCell ref="A20:D20"/>
  </mergeCells>
  <pageMargins left="0.55000000000000004" right="0.47" top="0.62" bottom="0.74803149606299213" header="0.31" footer="0.31496062992125984"/>
  <pageSetup paperSize="9" scale="8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4" zoomScaleSheetLayoutView="100" workbookViewId="0">
      <selection activeCell="H18" sqref="H18"/>
    </sheetView>
  </sheetViews>
  <sheetFormatPr baseColWidth="10" defaultColWidth="11.453125" defaultRowHeight="14.5"/>
  <cols>
    <col min="1" max="1" width="11.453125" style="4"/>
    <col min="2" max="2" width="15.1796875" style="4" customWidth="1"/>
    <col min="3" max="3" width="13.1796875" style="4" customWidth="1"/>
    <col min="4" max="4" width="9.1796875" style="4" customWidth="1"/>
    <col min="5" max="5" width="21.54296875" style="4" customWidth="1"/>
    <col min="6" max="6" width="30.453125" style="4" customWidth="1"/>
    <col min="7" max="7" width="11.453125" style="4"/>
    <col min="8" max="8" width="19.453125" style="9" customWidth="1"/>
    <col min="9" max="16384" width="11.453125" style="4"/>
  </cols>
  <sheetData>
    <row r="1" spans="1:8" ht="20.5">
      <c r="A1" s="440" t="s">
        <v>0</v>
      </c>
      <c r="B1" s="440"/>
      <c r="C1" s="440"/>
      <c r="D1" s="440"/>
      <c r="E1" s="437" t="s">
        <v>34</v>
      </c>
      <c r="F1" s="437"/>
    </row>
    <row r="2" spans="1:8" ht="20.5">
      <c r="A2" s="20" t="s">
        <v>53</v>
      </c>
      <c r="B2" s="20"/>
      <c r="C2" s="20"/>
      <c r="D2" s="20"/>
      <c r="E2" s="222"/>
      <c r="F2" s="222"/>
    </row>
    <row r="3" spans="1:8" ht="20.5">
      <c r="A3" s="20" t="s">
        <v>1</v>
      </c>
      <c r="B3" s="20"/>
      <c r="C3" s="20"/>
      <c r="D3" s="20"/>
      <c r="E3" s="247"/>
      <c r="F3" s="247"/>
    </row>
    <row r="4" spans="1:8" ht="20.5">
      <c r="A4" s="423" t="s">
        <v>2</v>
      </c>
      <c r="B4" s="423"/>
      <c r="C4" s="423"/>
      <c r="D4" s="423"/>
      <c r="E4" s="247"/>
      <c r="F4" s="222"/>
    </row>
    <row r="6" spans="1:8" s="308" customFormat="1" ht="15.5">
      <c r="A6" s="308" t="s">
        <v>270</v>
      </c>
      <c r="B6" s="309"/>
      <c r="C6" s="309"/>
      <c r="D6" s="309"/>
      <c r="E6" s="310"/>
      <c r="F6" s="310"/>
    </row>
    <row r="8" spans="1:8" s="91" customFormat="1" ht="34.5" customHeight="1">
      <c r="A8" s="441" t="s">
        <v>122</v>
      </c>
      <c r="B8" s="441"/>
      <c r="C8" s="441"/>
      <c r="D8" s="441"/>
      <c r="E8" s="441"/>
      <c r="F8" s="441"/>
      <c r="H8" s="266"/>
    </row>
    <row r="9" spans="1:8" ht="27.75" customHeight="1" thickBot="1">
      <c r="A9" s="442" t="s">
        <v>129</v>
      </c>
      <c r="B9" s="442"/>
      <c r="C9" s="442"/>
      <c r="D9" s="442"/>
      <c r="E9" s="442"/>
      <c r="F9" s="442"/>
      <c r="G9" s="146"/>
    </row>
    <row r="10" spans="1:8" ht="25.5" customHeight="1" thickBot="1">
      <c r="A10" s="174" t="s">
        <v>120</v>
      </c>
      <c r="B10" s="175"/>
      <c r="C10" s="175"/>
      <c r="D10" s="175"/>
      <c r="E10" s="175"/>
      <c r="F10" s="175">
        <v>2075883</v>
      </c>
      <c r="G10" s="146"/>
    </row>
    <row r="11" spans="1:8" ht="25.5" customHeight="1" thickBot="1">
      <c r="A11" s="176"/>
      <c r="B11" s="177"/>
      <c r="C11" s="177"/>
      <c r="D11" s="177"/>
      <c r="E11" s="177"/>
      <c r="F11" s="178"/>
    </row>
    <row r="12" spans="1:8" ht="25.5" customHeight="1" thickBot="1">
      <c r="A12" s="443" t="s">
        <v>273</v>
      </c>
      <c r="B12" s="443"/>
      <c r="C12" s="443"/>
      <c r="D12" s="443"/>
      <c r="E12" s="443"/>
      <c r="F12" s="192">
        <f>+' RECETTE ADEL BAGROU'!E20</f>
        <v>247857</v>
      </c>
    </row>
    <row r="13" spans="1:8" ht="25.5" customHeight="1" thickBot="1">
      <c r="A13" s="444" t="s">
        <v>274</v>
      </c>
      <c r="B13" s="445"/>
      <c r="C13" s="445"/>
      <c r="D13" s="445"/>
      <c r="E13" s="446"/>
      <c r="F13" s="192">
        <f>+'DEP ADEL BAGROU'!E35</f>
        <v>1125680</v>
      </c>
    </row>
    <row r="14" spans="1:8" ht="25.5" customHeight="1" thickBot="1">
      <c r="A14" s="179"/>
      <c r="B14" s="180"/>
      <c r="C14" s="180"/>
      <c r="D14" s="180"/>
      <c r="E14" s="180"/>
      <c r="F14" s="181"/>
    </row>
    <row r="15" spans="1:8" ht="25.5" customHeight="1" thickBot="1">
      <c r="A15" s="185" t="s">
        <v>120</v>
      </c>
      <c r="B15" s="186"/>
      <c r="C15" s="186"/>
      <c r="D15" s="186"/>
      <c r="E15" s="186"/>
      <c r="F15" s="36">
        <f>+F10+F12-F13</f>
        <v>1198060</v>
      </c>
    </row>
    <row r="16" spans="1:8" ht="25.5" customHeight="1" thickBot="1">
      <c r="A16" s="176"/>
      <c r="B16" s="177"/>
      <c r="C16" s="177"/>
      <c r="D16" s="177"/>
      <c r="E16" s="177"/>
      <c r="F16" s="178"/>
    </row>
    <row r="17" spans="1:8" ht="25.5" customHeight="1" thickBot="1">
      <c r="A17" s="174" t="s">
        <v>121</v>
      </c>
      <c r="B17" s="183"/>
      <c r="C17" s="183"/>
      <c r="D17" s="183"/>
      <c r="E17" s="183"/>
      <c r="F17" s="175">
        <v>4758061</v>
      </c>
    </row>
    <row r="18" spans="1:8" ht="25.5" customHeight="1" thickBot="1">
      <c r="A18" s="176"/>
      <c r="B18" s="177"/>
      <c r="C18" s="177"/>
      <c r="D18" s="177"/>
      <c r="E18" s="177"/>
      <c r="F18" s="178"/>
    </row>
    <row r="19" spans="1:8" ht="25.5" customHeight="1" thickBot="1">
      <c r="A19" s="443" t="s">
        <v>275</v>
      </c>
      <c r="B19" s="443"/>
      <c r="C19" s="443"/>
      <c r="D19" s="443"/>
      <c r="E19" s="443"/>
      <c r="F19" s="192">
        <f>+' RECETTE ADEL BAGROU'!E23</f>
        <v>0</v>
      </c>
    </row>
    <row r="20" spans="1:8" ht="25.5" customHeight="1" thickBot="1">
      <c r="A20" s="444" t="s">
        <v>276</v>
      </c>
      <c r="B20" s="445"/>
      <c r="C20" s="445"/>
      <c r="D20" s="445"/>
      <c r="E20" s="446"/>
      <c r="F20" s="192"/>
    </row>
    <row r="21" spans="1:8" ht="25.5" customHeight="1" thickBot="1">
      <c r="A21" s="176"/>
      <c r="B21" s="177"/>
      <c r="C21" s="177"/>
      <c r="D21" s="177"/>
      <c r="E21" s="177"/>
      <c r="F21" s="178"/>
    </row>
    <row r="22" spans="1:8" ht="25.5" customHeight="1" thickBot="1">
      <c r="A22" s="182" t="s">
        <v>121</v>
      </c>
      <c r="B22" s="183"/>
      <c r="C22" s="183"/>
      <c r="D22" s="183"/>
      <c r="E22" s="183"/>
      <c r="F22" s="175">
        <f>+F17+F19-F20</f>
        <v>4758061</v>
      </c>
    </row>
    <row r="23" spans="1:8" ht="25.5" customHeight="1" thickBot="1">
      <c r="A23" s="62"/>
      <c r="B23" s="63"/>
      <c r="C23" s="63"/>
      <c r="D23" s="63"/>
      <c r="E23" s="63"/>
      <c r="F23" s="184"/>
    </row>
    <row r="24" spans="1:8" s="91" customFormat="1" ht="25.5" customHeight="1" thickBot="1">
      <c r="A24" s="447" t="s">
        <v>43</v>
      </c>
      <c r="B24" s="448"/>
      <c r="C24" s="448"/>
      <c r="D24" s="448"/>
      <c r="E24" s="449"/>
      <c r="F24" s="66">
        <f>+F15+F22</f>
        <v>5956121</v>
      </c>
      <c r="H24" s="266"/>
    </row>
    <row r="25" spans="1:8" ht="18.5">
      <c r="A25" s="11"/>
      <c r="B25" s="12"/>
      <c r="C25" s="12"/>
      <c r="D25" s="11"/>
      <c r="E25" s="13"/>
      <c r="F25" s="12"/>
    </row>
    <row r="26" spans="1:8" ht="18.5">
      <c r="A26" s="11"/>
      <c r="B26" s="12"/>
      <c r="C26" s="12"/>
      <c r="D26" s="11"/>
      <c r="E26" s="13"/>
      <c r="F26" s="12"/>
    </row>
    <row r="27" spans="1:8" ht="18.5">
      <c r="A27" s="11" t="str">
        <f>+'RECETTES  QUITT '!A20</f>
        <v>Effectuée le 16/05/2024</v>
      </c>
      <c r="B27" s="12"/>
      <c r="C27" s="12"/>
      <c r="D27" s="11"/>
      <c r="E27" s="13"/>
      <c r="F27" s="12"/>
    </row>
    <row r="28" spans="1:8" ht="18.5">
      <c r="A28" s="11"/>
      <c r="B28" s="12"/>
      <c r="C28" s="12"/>
      <c r="D28" s="11"/>
      <c r="E28" s="13"/>
      <c r="F28" s="12"/>
    </row>
    <row r="29" spans="1:8" s="5" customFormat="1" ht="21">
      <c r="A29" s="22" t="str">
        <f>'P V '!A44:D44</f>
        <v>Les Missionnaires</v>
      </c>
      <c r="B29" s="22"/>
      <c r="C29" s="435" t="s">
        <v>15</v>
      </c>
      <c r="D29" s="435"/>
      <c r="E29" s="435"/>
      <c r="F29" s="25" t="s">
        <v>33</v>
      </c>
      <c r="H29" s="267"/>
    </row>
    <row r="30" spans="1:8" ht="18.5">
      <c r="A30" s="12"/>
      <c r="B30" s="12"/>
      <c r="C30" s="12"/>
      <c r="D30" s="12"/>
      <c r="E30" s="12"/>
      <c r="F30" s="12"/>
    </row>
    <row r="34" spans="1:3">
      <c r="A34" s="5"/>
      <c r="C34" s="5"/>
    </row>
  </sheetData>
  <mergeCells count="11">
    <mergeCell ref="A19:E19"/>
    <mergeCell ref="A20:E20"/>
    <mergeCell ref="A24:E24"/>
    <mergeCell ref="C29:E29"/>
    <mergeCell ref="A13:E13"/>
    <mergeCell ref="A1:D1"/>
    <mergeCell ref="A4:D4"/>
    <mergeCell ref="A8:F8"/>
    <mergeCell ref="A9:F9"/>
    <mergeCell ref="A12:E12"/>
    <mergeCell ref="E1:F1"/>
  </mergeCells>
  <pageMargins left="0.63" right="0.46" top="0.7" bottom="0.75" header="0.3" footer="0.3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2" workbookViewId="0">
      <selection activeCell="B16" sqref="B16:D16"/>
    </sheetView>
  </sheetViews>
  <sheetFormatPr baseColWidth="10" defaultColWidth="11.453125" defaultRowHeight="14.5"/>
  <cols>
    <col min="1" max="1" width="12.1796875" style="5" customWidth="1"/>
    <col min="2" max="2" width="15.81640625" style="5" customWidth="1"/>
    <col min="3" max="3" width="27.1796875" style="49" customWidth="1"/>
    <col min="4" max="4" width="23.81640625" style="5" customWidth="1"/>
    <col min="5" max="5" width="31.54296875" style="5" customWidth="1"/>
    <col min="6" max="16384" width="11.453125" style="4"/>
  </cols>
  <sheetData>
    <row r="1" spans="1:6" ht="22">
      <c r="A1" s="436" t="s">
        <v>0</v>
      </c>
      <c r="B1" s="436"/>
      <c r="C1" s="436"/>
      <c r="D1" s="437" t="s">
        <v>34</v>
      </c>
      <c r="E1" s="437"/>
    </row>
    <row r="2" spans="1:6" ht="22">
      <c r="A2" s="228" t="s">
        <v>51</v>
      </c>
      <c r="B2" s="228"/>
      <c r="C2" s="233"/>
      <c r="D2" s="246"/>
      <c r="E2" s="222"/>
    </row>
    <row r="3" spans="1:6" ht="22">
      <c r="A3" s="249" t="s">
        <v>1</v>
      </c>
      <c r="B3" s="249"/>
      <c r="C3" s="250"/>
      <c r="D3" s="249"/>
      <c r="E3" s="222"/>
    </row>
    <row r="4" spans="1:6" ht="22">
      <c r="A4" s="228" t="s">
        <v>2</v>
      </c>
      <c r="B4" s="228"/>
      <c r="C4" s="233"/>
      <c r="D4" s="248"/>
      <c r="E4" s="222"/>
    </row>
    <row r="5" spans="1:6">
      <c r="A5" s="251"/>
      <c r="B5" s="251"/>
      <c r="C5" s="252"/>
      <c r="D5" s="251"/>
      <c r="E5" s="251"/>
    </row>
    <row r="6" spans="1:6" s="308" customFormat="1" ht="15.5">
      <c r="A6" s="308" t="s">
        <v>270</v>
      </c>
      <c r="B6" s="309"/>
      <c r="C6" s="309"/>
      <c r="D6" s="309"/>
      <c r="E6" s="310"/>
      <c r="F6" s="310"/>
    </row>
    <row r="9" spans="1:6" s="91" customFormat="1" ht="32.25" customHeight="1">
      <c r="A9" s="438" t="s">
        <v>142</v>
      </c>
      <c r="B9" s="438"/>
      <c r="C9" s="438"/>
      <c r="D9" s="438"/>
      <c r="E9" s="438"/>
    </row>
    <row r="10" spans="1:6" ht="26.25" customHeight="1">
      <c r="A10" s="439" t="s">
        <v>262</v>
      </c>
      <c r="B10" s="439"/>
      <c r="C10" s="439"/>
      <c r="D10" s="439"/>
      <c r="E10" s="439"/>
    </row>
    <row r="11" spans="1:6" ht="21.75" customHeight="1" thickBot="1">
      <c r="A11" s="145"/>
      <c r="B11" s="145"/>
      <c r="C11" s="145"/>
      <c r="D11" s="145"/>
      <c r="E11" s="148"/>
    </row>
    <row r="12" spans="1:6" s="91" customFormat="1" ht="31.5" customHeight="1" thickBot="1">
      <c r="A12" s="44" t="s">
        <v>75</v>
      </c>
      <c r="B12" s="44" t="s">
        <v>92</v>
      </c>
      <c r="C12" s="44" t="s">
        <v>45</v>
      </c>
      <c r="D12" s="44" t="s">
        <v>46</v>
      </c>
      <c r="E12" s="44" t="s">
        <v>42</v>
      </c>
    </row>
    <row r="13" spans="1:6" s="91" customFormat="1" ht="21.5" thickBot="1">
      <c r="A13" s="57">
        <v>1</v>
      </c>
      <c r="B13" s="50" t="s">
        <v>345</v>
      </c>
      <c r="C13" s="50"/>
      <c r="D13" s="54" t="s">
        <v>346</v>
      </c>
      <c r="E13" s="56">
        <v>113043</v>
      </c>
    </row>
    <row r="14" spans="1:6" s="91" customFormat="1" ht="21.5" thickBot="1">
      <c r="A14" s="57">
        <v>2</v>
      </c>
      <c r="B14" s="50" t="s">
        <v>345</v>
      </c>
      <c r="C14" s="50"/>
      <c r="D14" s="54" t="s">
        <v>346</v>
      </c>
      <c r="E14" s="56">
        <v>11000</v>
      </c>
    </row>
    <row r="15" spans="1:6" s="91" customFormat="1" ht="30.75" customHeight="1" thickBot="1">
      <c r="A15" s="432" t="s">
        <v>35</v>
      </c>
      <c r="B15" s="432"/>
      <c r="C15" s="432"/>
      <c r="D15" s="432"/>
      <c r="E15" s="30">
        <f>SUM(E13:E14)</f>
        <v>124043</v>
      </c>
    </row>
    <row r="16" spans="1:6" ht="33.75" customHeight="1" thickBot="1">
      <c r="A16" s="32"/>
      <c r="B16" s="32"/>
      <c r="C16" s="32"/>
      <c r="D16" s="54"/>
      <c r="E16" s="33"/>
    </row>
    <row r="17" spans="1:5" ht="31.5" customHeight="1" thickBot="1">
      <c r="A17" s="432" t="s">
        <v>36</v>
      </c>
      <c r="B17" s="432"/>
      <c r="C17" s="432"/>
      <c r="D17" s="432"/>
      <c r="E17" s="30">
        <f>SUM(E16:E16)</f>
        <v>0</v>
      </c>
    </row>
    <row r="18" spans="1:5" ht="24.75" customHeight="1" thickBot="1">
      <c r="A18" s="433"/>
      <c r="B18" s="433"/>
      <c r="C18" s="433"/>
      <c r="D18" s="433"/>
      <c r="E18" s="433"/>
    </row>
    <row r="19" spans="1:5" ht="32.25" customHeight="1" thickBot="1">
      <c r="A19" s="434" t="s">
        <v>43</v>
      </c>
      <c r="B19" s="434"/>
      <c r="C19" s="434"/>
      <c r="D19" s="434"/>
      <c r="E19" s="29">
        <f>+E15+E17</f>
        <v>124043</v>
      </c>
    </row>
    <row r="20" spans="1:5" ht="24.75" customHeight="1"/>
    <row r="23" spans="1:5" ht="18.5">
      <c r="A23" s="11" t="str">
        <f>+'RECETTES  QUITT '!A20</f>
        <v>Effectuée le 16/05/2024</v>
      </c>
      <c r="B23" s="4"/>
      <c r="C23" s="51"/>
      <c r="D23" s="7"/>
      <c r="E23" s="4"/>
    </row>
    <row r="24" spans="1:5">
      <c r="B24" s="4"/>
      <c r="C24" s="51"/>
      <c r="D24" s="7"/>
      <c r="E24" s="4"/>
    </row>
    <row r="25" spans="1:5" ht="21">
      <c r="A25" s="22" t="str">
        <f>'P V '!A44:D44</f>
        <v>Les Missionnaires</v>
      </c>
      <c r="B25" s="22"/>
      <c r="C25" s="435" t="s">
        <v>15</v>
      </c>
      <c r="D25" s="435"/>
      <c r="E25" s="25" t="s">
        <v>33</v>
      </c>
    </row>
  </sheetData>
  <autoFilter ref="A12:E13"/>
  <mergeCells count="9">
    <mergeCell ref="A18:E18"/>
    <mergeCell ref="A19:D19"/>
    <mergeCell ref="C25:D25"/>
    <mergeCell ref="A1:C1"/>
    <mergeCell ref="D1:E1"/>
    <mergeCell ref="A9:E9"/>
    <mergeCell ref="A10:E10"/>
    <mergeCell ref="A15:D15"/>
    <mergeCell ref="A17:D17"/>
  </mergeCells>
  <pageMargins left="0.55000000000000004" right="0.47" top="0.74803149606299213" bottom="0.74803149606299213" header="0.31" footer="0.31496062992125984"/>
  <pageSetup paperSize="9" scale="8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5" zoomScale="80" zoomScaleNormal="80" workbookViewId="0">
      <selection activeCell="A19" sqref="A19:XFD31"/>
    </sheetView>
  </sheetViews>
  <sheetFormatPr baseColWidth="10" defaultColWidth="11.453125" defaultRowHeight="20.5"/>
  <cols>
    <col min="1" max="1" width="10.36328125" style="132" customWidth="1"/>
    <col min="2" max="2" width="14.54296875" style="132" customWidth="1"/>
    <col min="3" max="3" width="46.453125" style="132" customWidth="1"/>
    <col min="4" max="4" width="37.54296875" style="132" customWidth="1"/>
    <col min="5" max="5" width="20.7265625" style="132" customWidth="1"/>
    <col min="6" max="6" width="18.7265625" style="132" customWidth="1"/>
    <col min="7" max="7" width="17.1796875" style="132" customWidth="1"/>
    <col min="8" max="8" width="16.54296875" style="132" customWidth="1"/>
    <col min="9" max="9" width="13.26953125" style="132" customWidth="1"/>
    <col min="10" max="10" width="13.7265625" style="132" customWidth="1"/>
    <col min="11" max="11" width="12.26953125" style="132" customWidth="1"/>
    <col min="12" max="12" width="22.453125" style="132" customWidth="1"/>
    <col min="13" max="13" width="22.81640625" style="132" customWidth="1"/>
    <col min="14" max="14" width="17.7265625" style="132" bestFit="1" customWidth="1"/>
    <col min="15" max="15" width="19.453125" style="132" bestFit="1" customWidth="1"/>
    <col min="16" max="16" width="11.453125" style="132"/>
    <col min="17" max="17" width="13.54296875" style="132" bestFit="1" customWidth="1"/>
    <col min="18" max="16384" width="11.453125" style="132"/>
  </cols>
  <sheetData>
    <row r="1" spans="1:15" ht="21" customHeight="1">
      <c r="A1" s="423" t="s">
        <v>17</v>
      </c>
      <c r="B1" s="423"/>
      <c r="C1" s="423"/>
      <c r="D1" s="423"/>
      <c r="E1" s="423"/>
      <c r="F1" s="215"/>
      <c r="G1" s="424" t="s">
        <v>26</v>
      </c>
      <c r="H1" s="424"/>
      <c r="I1" s="424"/>
      <c r="J1" s="424"/>
      <c r="K1" s="424"/>
      <c r="L1" s="424"/>
      <c r="M1" s="424"/>
    </row>
    <row r="2" spans="1:15" ht="26.25" customHeight="1">
      <c r="A2" s="20" t="s">
        <v>65</v>
      </c>
      <c r="B2" s="20"/>
      <c r="C2" s="215"/>
      <c r="D2" s="313"/>
      <c r="E2" s="215"/>
      <c r="F2" s="215"/>
      <c r="G2" s="215"/>
      <c r="H2" s="215"/>
      <c r="I2" s="215"/>
      <c r="J2" s="215"/>
      <c r="K2" s="215"/>
      <c r="L2" s="215"/>
      <c r="M2" s="215"/>
    </row>
    <row r="3" spans="1:15">
      <c r="A3" s="20" t="s">
        <v>1</v>
      </c>
      <c r="B3" s="215"/>
      <c r="C3" s="215"/>
      <c r="D3" s="313"/>
      <c r="E3" s="215"/>
      <c r="F3" s="215"/>
      <c r="G3" s="215"/>
      <c r="H3" s="215"/>
      <c r="I3" s="215"/>
      <c r="J3" s="215"/>
      <c r="K3" s="215"/>
      <c r="L3" s="215"/>
      <c r="M3" s="215"/>
    </row>
    <row r="4" spans="1:15">
      <c r="A4" s="423" t="s">
        <v>2</v>
      </c>
      <c r="B4" s="423"/>
      <c r="C4" s="423"/>
      <c r="D4" s="423"/>
      <c r="E4" s="423"/>
      <c r="F4" s="215"/>
      <c r="G4" s="215"/>
      <c r="H4" s="215"/>
      <c r="I4" s="215"/>
      <c r="J4" s="215"/>
      <c r="K4" s="215"/>
      <c r="L4" s="215"/>
      <c r="M4" s="215"/>
    </row>
    <row r="5" spans="1:15" s="308" customFormat="1" ht="15.5">
      <c r="A5" s="308" t="s">
        <v>270</v>
      </c>
      <c r="B5" s="309"/>
      <c r="C5" s="309"/>
      <c r="D5" s="309"/>
      <c r="E5" s="309"/>
      <c r="F5" s="310"/>
      <c r="G5" s="310"/>
    </row>
    <row r="6" spans="1:15" ht="39" customHeight="1">
      <c r="A6" s="425" t="s">
        <v>130</v>
      </c>
      <c r="B6" s="425"/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</row>
    <row r="7" spans="1:15" ht="29.25" customHeight="1" thickBot="1">
      <c r="A7" s="426" t="s">
        <v>262</v>
      </c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6"/>
    </row>
    <row r="8" spans="1:15" ht="44.25" customHeight="1" thickBot="1">
      <c r="A8" s="67" t="s">
        <v>74</v>
      </c>
      <c r="B8" s="67" t="s">
        <v>92</v>
      </c>
      <c r="C8" s="67" t="s">
        <v>331</v>
      </c>
      <c r="D8" s="67" t="s">
        <v>332</v>
      </c>
      <c r="E8" s="68" t="s">
        <v>10</v>
      </c>
      <c r="F8" s="68" t="s">
        <v>11</v>
      </c>
      <c r="G8" s="67" t="s">
        <v>7</v>
      </c>
      <c r="H8" s="67" t="s">
        <v>8</v>
      </c>
      <c r="I8" s="67" t="s">
        <v>9</v>
      </c>
      <c r="J8" s="67" t="s">
        <v>64</v>
      </c>
      <c r="K8" s="67" t="s">
        <v>13</v>
      </c>
      <c r="L8" s="68" t="s">
        <v>93</v>
      </c>
      <c r="M8" s="143" t="s">
        <v>55</v>
      </c>
    </row>
    <row r="9" spans="1:15" ht="65.5" customHeight="1" thickBot="1">
      <c r="A9" s="50">
        <v>1</v>
      </c>
      <c r="B9" s="50" t="s">
        <v>152</v>
      </c>
      <c r="C9" s="54" t="s">
        <v>330</v>
      </c>
      <c r="D9" s="54" t="s">
        <v>324</v>
      </c>
      <c r="E9" s="55">
        <v>8100</v>
      </c>
      <c r="F9" s="55"/>
      <c r="G9" s="55"/>
      <c r="H9" s="55"/>
      <c r="I9" s="55"/>
      <c r="J9" s="55"/>
      <c r="K9" s="55"/>
      <c r="L9" s="34">
        <f>E9-G9-H9-J9-K9-I9</f>
        <v>8100</v>
      </c>
      <c r="M9" s="281" t="s">
        <v>333</v>
      </c>
    </row>
    <row r="10" spans="1:15" ht="36" customHeight="1" thickBot="1">
      <c r="A10" s="50">
        <v>2</v>
      </c>
      <c r="B10" s="50" t="s">
        <v>153</v>
      </c>
      <c r="C10" s="54" t="s">
        <v>330</v>
      </c>
      <c r="D10" s="54" t="s">
        <v>334</v>
      </c>
      <c r="E10" s="55">
        <v>4500</v>
      </c>
      <c r="F10" s="55"/>
      <c r="G10" s="55"/>
      <c r="H10" s="55"/>
      <c r="I10" s="55"/>
      <c r="J10" s="55"/>
      <c r="K10" s="55"/>
      <c r="L10" s="34">
        <f t="shared" ref="L10:L18" si="0">E10-G10-H10-J10-K10-I10</f>
        <v>4500</v>
      </c>
      <c r="M10" s="281" t="s">
        <v>333</v>
      </c>
      <c r="O10" s="131"/>
    </row>
    <row r="11" spans="1:15" ht="51.5" customHeight="1" thickBot="1">
      <c r="A11" s="50">
        <v>3</v>
      </c>
      <c r="B11" s="50" t="s">
        <v>154</v>
      </c>
      <c r="C11" s="54" t="s">
        <v>335</v>
      </c>
      <c r="D11" s="54" t="s">
        <v>324</v>
      </c>
      <c r="E11" s="55">
        <v>10500</v>
      </c>
      <c r="F11" s="55"/>
      <c r="G11" s="55"/>
      <c r="H11" s="55"/>
      <c r="I11" s="55"/>
      <c r="J11" s="55"/>
      <c r="K11" s="55"/>
      <c r="L11" s="34">
        <f t="shared" si="0"/>
        <v>10500</v>
      </c>
      <c r="M11" s="281" t="s">
        <v>333</v>
      </c>
      <c r="N11" s="274"/>
    </row>
    <row r="12" spans="1:15" ht="41.5" customHeight="1" thickBot="1">
      <c r="A12" s="50">
        <v>4</v>
      </c>
      <c r="B12" s="50" t="s">
        <v>155</v>
      </c>
      <c r="C12" s="54" t="s">
        <v>336</v>
      </c>
      <c r="D12" s="54" t="s">
        <v>324</v>
      </c>
      <c r="E12" s="55">
        <v>9000</v>
      </c>
      <c r="F12" s="55"/>
      <c r="G12" s="55"/>
      <c r="H12" s="55"/>
      <c r="I12" s="55"/>
      <c r="J12" s="55"/>
      <c r="K12" s="55"/>
      <c r="L12" s="34">
        <f t="shared" si="0"/>
        <v>9000</v>
      </c>
      <c r="M12" s="281" t="s">
        <v>333</v>
      </c>
      <c r="N12" s="274"/>
    </row>
    <row r="13" spans="1:15" ht="45" customHeight="1" thickBot="1">
      <c r="A13" s="50">
        <v>5</v>
      </c>
      <c r="B13" s="50" t="s">
        <v>156</v>
      </c>
      <c r="C13" s="54" t="s">
        <v>338</v>
      </c>
      <c r="D13" s="54" t="s">
        <v>306</v>
      </c>
      <c r="E13" s="55">
        <v>12000</v>
      </c>
      <c r="F13" s="55"/>
      <c r="G13" s="55"/>
      <c r="H13" s="55"/>
      <c r="I13" s="55"/>
      <c r="J13" s="55"/>
      <c r="K13" s="55"/>
      <c r="L13" s="34">
        <f t="shared" si="0"/>
        <v>12000</v>
      </c>
      <c r="M13" s="281" t="s">
        <v>333</v>
      </c>
      <c r="N13" s="274"/>
    </row>
    <row r="14" spans="1:15" ht="36" customHeight="1" thickBot="1">
      <c r="A14" s="50">
        <v>6</v>
      </c>
      <c r="B14" s="50" t="s">
        <v>149</v>
      </c>
      <c r="C14" s="54" t="s">
        <v>337</v>
      </c>
      <c r="D14" s="54" t="s">
        <v>306</v>
      </c>
      <c r="E14" s="55">
        <v>4500</v>
      </c>
      <c r="F14" s="55"/>
      <c r="G14" s="55"/>
      <c r="H14" s="55"/>
      <c r="I14" s="55"/>
      <c r="J14" s="55"/>
      <c r="K14" s="55"/>
      <c r="L14" s="34">
        <f t="shared" si="0"/>
        <v>4500</v>
      </c>
      <c r="M14" s="281" t="s">
        <v>333</v>
      </c>
      <c r="N14" s="274"/>
    </row>
    <row r="15" spans="1:15" ht="36" customHeight="1" thickBot="1">
      <c r="A15" s="50">
        <v>7</v>
      </c>
      <c r="B15" s="50" t="s">
        <v>150</v>
      </c>
      <c r="C15" s="54" t="s">
        <v>339</v>
      </c>
      <c r="D15" s="54" t="s">
        <v>340</v>
      </c>
      <c r="E15" s="55">
        <v>12000</v>
      </c>
      <c r="F15" s="55"/>
      <c r="G15" s="55"/>
      <c r="H15" s="55"/>
      <c r="I15" s="55"/>
      <c r="J15" s="55"/>
      <c r="K15" s="55"/>
      <c r="L15" s="34">
        <f t="shared" si="0"/>
        <v>12000</v>
      </c>
      <c r="M15" s="281" t="s">
        <v>333</v>
      </c>
      <c r="N15" s="274"/>
    </row>
    <row r="16" spans="1:15" ht="36" customHeight="1" thickBot="1">
      <c r="A16" s="50">
        <v>8</v>
      </c>
      <c r="B16" s="50" t="s">
        <v>165</v>
      </c>
      <c r="C16" s="54" t="s">
        <v>330</v>
      </c>
      <c r="D16" s="54" t="s">
        <v>341</v>
      </c>
      <c r="E16" s="55">
        <v>12000</v>
      </c>
      <c r="F16" s="55"/>
      <c r="G16" s="55"/>
      <c r="H16" s="55"/>
      <c r="I16" s="55"/>
      <c r="J16" s="55"/>
      <c r="K16" s="55"/>
      <c r="L16" s="34">
        <f t="shared" si="0"/>
        <v>12000</v>
      </c>
      <c r="M16" s="281" t="s">
        <v>333</v>
      </c>
      <c r="N16" s="274"/>
    </row>
    <row r="17" spans="1:14" ht="36" customHeight="1" thickBot="1">
      <c r="A17" s="50">
        <v>9</v>
      </c>
      <c r="B17" s="50" t="s">
        <v>145</v>
      </c>
      <c r="C17" s="54" t="s">
        <v>342</v>
      </c>
      <c r="D17" s="54" t="s">
        <v>343</v>
      </c>
      <c r="E17" s="55">
        <v>36000</v>
      </c>
      <c r="F17" s="55"/>
      <c r="G17" s="55"/>
      <c r="H17" s="55"/>
      <c r="I17" s="55"/>
      <c r="J17" s="55"/>
      <c r="K17" s="55"/>
      <c r="L17" s="34">
        <f t="shared" si="0"/>
        <v>36000</v>
      </c>
      <c r="M17" s="281" t="s">
        <v>344</v>
      </c>
      <c r="N17" s="274"/>
    </row>
    <row r="18" spans="1:14" ht="36" customHeight="1" thickBot="1">
      <c r="A18" s="50">
        <v>10</v>
      </c>
      <c r="B18" s="50" t="s">
        <v>145</v>
      </c>
      <c r="C18" s="54" t="s">
        <v>342</v>
      </c>
      <c r="D18" s="54" t="s">
        <v>343</v>
      </c>
      <c r="E18" s="55">
        <v>12000</v>
      </c>
      <c r="F18" s="55"/>
      <c r="G18" s="55"/>
      <c r="H18" s="55"/>
      <c r="I18" s="55"/>
      <c r="J18" s="55"/>
      <c r="K18" s="55"/>
      <c r="L18" s="34">
        <f t="shared" si="0"/>
        <v>12000</v>
      </c>
      <c r="M18" s="281" t="s">
        <v>344</v>
      </c>
    </row>
    <row r="19" spans="1:14" ht="37.5" customHeight="1" thickBot="1">
      <c r="A19" s="420" t="s">
        <v>32</v>
      </c>
      <c r="B19" s="421"/>
      <c r="C19" s="422"/>
      <c r="D19" s="312"/>
      <c r="E19" s="60">
        <f t="shared" ref="E19:L19" si="1">SUM(E9:E18)</f>
        <v>120600</v>
      </c>
      <c r="F19" s="60">
        <f t="shared" si="1"/>
        <v>0</v>
      </c>
      <c r="G19" s="60">
        <f t="shared" si="1"/>
        <v>0</v>
      </c>
      <c r="H19" s="60">
        <f t="shared" si="1"/>
        <v>0</v>
      </c>
      <c r="I19" s="60">
        <f t="shared" si="1"/>
        <v>0</v>
      </c>
      <c r="J19" s="60">
        <f t="shared" si="1"/>
        <v>0</v>
      </c>
      <c r="K19" s="60">
        <f t="shared" si="1"/>
        <v>0</v>
      </c>
      <c r="L19" s="60">
        <f t="shared" si="1"/>
        <v>120600</v>
      </c>
      <c r="M19" s="60"/>
    </row>
    <row r="20" spans="1:14" ht="36" customHeight="1" thickBot="1">
      <c r="A20" s="50"/>
      <c r="B20" s="50"/>
      <c r="C20" s="54"/>
      <c r="D20" s="54"/>
      <c r="E20" s="55"/>
      <c r="F20" s="34"/>
      <c r="G20" s="55"/>
      <c r="H20" s="55"/>
      <c r="I20" s="55"/>
      <c r="J20" s="55"/>
      <c r="K20" s="55"/>
      <c r="L20" s="34">
        <f t="shared" ref="L20" si="2">E20-G20-H20-J20-K20-I20</f>
        <v>0</v>
      </c>
      <c r="M20" s="34"/>
      <c r="N20" s="274"/>
    </row>
    <row r="21" spans="1:14" ht="40.5" customHeight="1" thickBot="1">
      <c r="A21" s="420" t="s">
        <v>37</v>
      </c>
      <c r="B21" s="421"/>
      <c r="C21" s="422"/>
      <c r="D21" s="312"/>
      <c r="E21" s="60">
        <f t="shared" ref="E21:L21" si="3">SUM(E20:E20)</f>
        <v>0</v>
      </c>
      <c r="F21" s="60">
        <f t="shared" si="3"/>
        <v>0</v>
      </c>
      <c r="G21" s="60">
        <f t="shared" si="3"/>
        <v>0</v>
      </c>
      <c r="H21" s="60">
        <f t="shared" si="3"/>
        <v>0</v>
      </c>
      <c r="I21" s="60">
        <f t="shared" si="3"/>
        <v>0</v>
      </c>
      <c r="J21" s="60">
        <f t="shared" si="3"/>
        <v>0</v>
      </c>
      <c r="K21" s="60">
        <f t="shared" si="3"/>
        <v>0</v>
      </c>
      <c r="L21" s="60">
        <f t="shared" si="3"/>
        <v>0</v>
      </c>
      <c r="M21" s="61"/>
    </row>
    <row r="22" spans="1:14" ht="15.75" customHeight="1" thickBot="1">
      <c r="A22" s="427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</row>
    <row r="23" spans="1:14" ht="44.25" customHeight="1" thickBot="1">
      <c r="A23" s="429" t="s">
        <v>14</v>
      </c>
      <c r="B23" s="430"/>
      <c r="C23" s="431"/>
      <c r="D23" s="314"/>
      <c r="E23" s="46">
        <f t="shared" ref="E23:L23" si="4">+E19+E21</f>
        <v>120600</v>
      </c>
      <c r="F23" s="46">
        <f t="shared" si="4"/>
        <v>0</v>
      </c>
      <c r="G23" s="46">
        <f t="shared" si="4"/>
        <v>0</v>
      </c>
      <c r="H23" s="46">
        <f t="shared" si="4"/>
        <v>0</v>
      </c>
      <c r="I23" s="46">
        <f t="shared" si="4"/>
        <v>0</v>
      </c>
      <c r="J23" s="46">
        <f t="shared" si="4"/>
        <v>0</v>
      </c>
      <c r="K23" s="46">
        <f t="shared" si="4"/>
        <v>0</v>
      </c>
      <c r="L23" s="46">
        <f t="shared" si="4"/>
        <v>120600</v>
      </c>
      <c r="M23" s="47"/>
    </row>
    <row r="25" spans="1:14">
      <c r="A25" s="11" t="str">
        <f>+'RECETTES  QUITT '!A20</f>
        <v>Effectuée le 16/05/2024</v>
      </c>
      <c r="E25" s="147"/>
    </row>
    <row r="26" spans="1:14" ht="23.5">
      <c r="A26" s="18" t="str">
        <f>'P V '!A44:D44</f>
        <v>Les Missionnaires</v>
      </c>
      <c r="E26" s="360" t="s">
        <v>15</v>
      </c>
      <c r="F26" s="360"/>
      <c r="G26" s="360"/>
      <c r="H26" s="360"/>
      <c r="I26" s="360"/>
      <c r="J26" s="360"/>
      <c r="K26" s="359" t="s">
        <v>33</v>
      </c>
      <c r="L26" s="359"/>
      <c r="M26" s="359"/>
    </row>
    <row r="28" spans="1:14">
      <c r="M28" s="131"/>
    </row>
    <row r="29" spans="1:14">
      <c r="L29" s="131"/>
      <c r="M29" s="131"/>
    </row>
    <row r="30" spans="1:14">
      <c r="L30" s="131"/>
      <c r="M30" s="147"/>
    </row>
    <row r="31" spans="1:14">
      <c r="L31" s="131"/>
    </row>
  </sheetData>
  <autoFilter ref="A8:M21"/>
  <mergeCells count="11">
    <mergeCell ref="A19:C19"/>
    <mergeCell ref="A1:E1"/>
    <mergeCell ref="G1:M1"/>
    <mergeCell ref="A4:E4"/>
    <mergeCell ref="A6:M6"/>
    <mergeCell ref="A7:M7"/>
    <mergeCell ref="A21:C21"/>
    <mergeCell ref="A22:M22"/>
    <mergeCell ref="A23:C23"/>
    <mergeCell ref="E26:J26"/>
    <mergeCell ref="K26:M26"/>
  </mergeCells>
  <phoneticPr fontId="48" type="noConversion"/>
  <pageMargins left="0.2" right="0.13" top="0.42" bottom="0.23" header="0.2" footer="0.2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10" zoomScaleSheetLayoutView="100" workbookViewId="0">
      <selection activeCell="A29" sqref="A29"/>
    </sheetView>
  </sheetViews>
  <sheetFormatPr baseColWidth="10" defaultColWidth="11.453125" defaultRowHeight="14.5"/>
  <cols>
    <col min="1" max="1" width="11.453125" style="4"/>
    <col min="2" max="2" width="15.1796875" style="4" customWidth="1"/>
    <col min="3" max="3" width="13.1796875" style="4" customWidth="1"/>
    <col min="4" max="4" width="9.1796875" style="4" customWidth="1"/>
    <col min="5" max="5" width="21.54296875" style="4" customWidth="1"/>
    <col min="6" max="6" width="30.453125" style="4" customWidth="1"/>
    <col min="7" max="16384" width="11.453125" style="4"/>
  </cols>
  <sheetData>
    <row r="1" spans="1:7" ht="20.5">
      <c r="A1" s="20" t="s">
        <v>53</v>
      </c>
      <c r="B1" s="20"/>
      <c r="C1" s="20"/>
      <c r="D1" s="20"/>
      <c r="E1" s="8"/>
      <c r="F1" s="8"/>
    </row>
    <row r="2" spans="1:7" ht="20.5">
      <c r="A2" s="20" t="s">
        <v>1</v>
      </c>
      <c r="B2" s="20"/>
      <c r="C2" s="20"/>
      <c r="D2" s="20"/>
      <c r="E2" s="142"/>
      <c r="F2" s="142"/>
    </row>
    <row r="3" spans="1:7" ht="20.5">
      <c r="A3" s="423" t="s">
        <v>2</v>
      </c>
      <c r="B3" s="423"/>
      <c r="C3" s="423"/>
      <c r="D3" s="423"/>
      <c r="E3" s="142"/>
      <c r="F3" s="8"/>
    </row>
    <row r="5" spans="1:7" s="308" customFormat="1" ht="15.5">
      <c r="A5" s="308" t="s">
        <v>270</v>
      </c>
      <c r="B5" s="309"/>
      <c r="C5" s="309"/>
      <c r="D5" s="309"/>
      <c r="E5" s="310"/>
      <c r="F5" s="310"/>
    </row>
    <row r="7" spans="1:7" s="91" customFormat="1" ht="34.5" customHeight="1">
      <c r="A7" s="450" t="s">
        <v>272</v>
      </c>
      <c r="B7" s="450"/>
      <c r="C7" s="450"/>
      <c r="D7" s="450"/>
      <c r="E7" s="450"/>
      <c r="F7" s="450"/>
    </row>
    <row r="8" spans="1:7" ht="27.75" customHeight="1" thickBot="1">
      <c r="A8" s="442" t="s">
        <v>131</v>
      </c>
      <c r="B8" s="442"/>
      <c r="C8" s="442"/>
      <c r="D8" s="442"/>
      <c r="E8" s="442"/>
      <c r="F8" s="442"/>
      <c r="G8" s="146"/>
    </row>
    <row r="9" spans="1:7" ht="25.5" customHeight="1" thickBot="1">
      <c r="A9" s="174" t="s">
        <v>120</v>
      </c>
      <c r="B9" s="175"/>
      <c r="C9" s="175"/>
      <c r="D9" s="175"/>
      <c r="E9" s="175"/>
      <c r="F9" s="175">
        <v>33508</v>
      </c>
      <c r="G9" s="146"/>
    </row>
    <row r="10" spans="1:7" ht="25.5" customHeight="1" thickBot="1">
      <c r="A10" s="176"/>
      <c r="B10" s="177"/>
      <c r="C10" s="177"/>
      <c r="D10" s="177"/>
      <c r="E10" s="177"/>
      <c r="F10" s="178"/>
    </row>
    <row r="11" spans="1:7" ht="25.5" customHeight="1" thickBot="1">
      <c r="A11" s="443" t="s">
        <v>273</v>
      </c>
      <c r="B11" s="443"/>
      <c r="C11" s="443"/>
      <c r="D11" s="443"/>
      <c r="E11" s="443"/>
      <c r="F11" s="192">
        <f>+' RECETTE El MASGOULE'!E15</f>
        <v>124043</v>
      </c>
    </row>
    <row r="12" spans="1:7" ht="25.5" customHeight="1" thickBot="1">
      <c r="A12" s="444" t="s">
        <v>274</v>
      </c>
      <c r="B12" s="445"/>
      <c r="C12" s="445"/>
      <c r="D12" s="445"/>
      <c r="E12" s="446"/>
      <c r="F12" s="192">
        <f>+'DEP El MASGOULE'!E19</f>
        <v>120600</v>
      </c>
    </row>
    <row r="13" spans="1:7" ht="25.5" customHeight="1" thickBot="1">
      <c r="A13" s="179"/>
      <c r="B13" s="180"/>
      <c r="C13" s="180"/>
      <c r="D13" s="180"/>
      <c r="E13" s="180"/>
      <c r="F13" s="181"/>
    </row>
    <row r="14" spans="1:7" ht="25.5" customHeight="1" thickBot="1">
      <c r="A14" s="185" t="s">
        <v>277</v>
      </c>
      <c r="B14" s="186"/>
      <c r="C14" s="186"/>
      <c r="D14" s="186"/>
      <c r="E14" s="186"/>
      <c r="F14" s="36">
        <f>+F9+F11-F12</f>
        <v>36951</v>
      </c>
    </row>
    <row r="15" spans="1:7" ht="25.5" customHeight="1" thickBot="1">
      <c r="A15" s="176"/>
      <c r="B15" s="177"/>
      <c r="C15" s="177"/>
      <c r="D15" s="177"/>
      <c r="E15" s="177"/>
      <c r="F15" s="178"/>
    </row>
    <row r="16" spans="1:7" ht="25.5" customHeight="1" thickBot="1">
      <c r="A16" s="174" t="s">
        <v>121</v>
      </c>
      <c r="B16" s="183"/>
      <c r="C16" s="183"/>
      <c r="D16" s="183"/>
      <c r="E16" s="183"/>
      <c r="F16" s="175">
        <v>304</v>
      </c>
    </row>
    <row r="17" spans="1:6" ht="25.5" customHeight="1" thickBot="1">
      <c r="A17" s="176"/>
      <c r="B17" s="177"/>
      <c r="C17" s="177"/>
      <c r="D17" s="177"/>
      <c r="E17" s="177"/>
      <c r="F17" s="178"/>
    </row>
    <row r="18" spans="1:6" ht="25.5" customHeight="1" thickBot="1">
      <c r="A18" s="443" t="s">
        <v>275</v>
      </c>
      <c r="B18" s="443"/>
      <c r="C18" s="443"/>
      <c r="D18" s="443"/>
      <c r="E18" s="443"/>
      <c r="F18" s="192">
        <f>+' RECETTE El MASGOULE'!E17</f>
        <v>0</v>
      </c>
    </row>
    <row r="19" spans="1:6" ht="25.5" customHeight="1" thickBot="1">
      <c r="A19" s="444" t="s">
        <v>276</v>
      </c>
      <c r="B19" s="445"/>
      <c r="C19" s="445"/>
      <c r="D19" s="445"/>
      <c r="E19" s="446"/>
      <c r="F19" s="192">
        <f>+'DEP El MASGOULE'!E21</f>
        <v>0</v>
      </c>
    </row>
    <row r="20" spans="1:6" ht="25.5" customHeight="1" thickBot="1">
      <c r="A20" s="176"/>
      <c r="B20" s="177"/>
      <c r="C20" s="177"/>
      <c r="D20" s="177"/>
      <c r="E20" s="177"/>
      <c r="F20" s="178"/>
    </row>
    <row r="21" spans="1:6" ht="25.5" customHeight="1" thickBot="1">
      <c r="A21" s="182" t="s">
        <v>278</v>
      </c>
      <c r="B21" s="183"/>
      <c r="C21" s="183"/>
      <c r="D21" s="183"/>
      <c r="E21" s="183"/>
      <c r="F21" s="175">
        <f>+F16+F18-F19</f>
        <v>304</v>
      </c>
    </row>
    <row r="22" spans="1:6" ht="25.5" customHeight="1" thickBot="1">
      <c r="A22" s="62"/>
      <c r="B22" s="63"/>
      <c r="C22" s="63"/>
      <c r="D22" s="63"/>
      <c r="E22" s="63"/>
      <c r="F22" s="184"/>
    </row>
    <row r="23" spans="1:6" s="91" customFormat="1" ht="25.5" customHeight="1" thickBot="1">
      <c r="A23" s="447" t="s">
        <v>43</v>
      </c>
      <c r="B23" s="448"/>
      <c r="C23" s="448"/>
      <c r="D23" s="448"/>
      <c r="E23" s="449"/>
      <c r="F23" s="66">
        <f>+F14+F21</f>
        <v>37255</v>
      </c>
    </row>
    <row r="24" spans="1:6" ht="18.5">
      <c r="A24" s="11"/>
      <c r="B24" s="12"/>
      <c r="C24" s="12"/>
      <c r="D24" s="11"/>
      <c r="E24" s="13"/>
      <c r="F24" s="12"/>
    </row>
    <row r="25" spans="1:6" ht="18.5">
      <c r="A25" s="11"/>
      <c r="B25" s="12"/>
      <c r="C25" s="12"/>
      <c r="D25" s="11"/>
      <c r="E25" s="13"/>
      <c r="F25" s="12"/>
    </row>
    <row r="26" spans="1:6" ht="18.5">
      <c r="A26" s="11" t="str">
        <f>+'RECETTES  QUITT '!A20</f>
        <v>Effectuée le 16/05/2024</v>
      </c>
      <c r="B26" s="12"/>
      <c r="C26" s="12"/>
      <c r="D26" s="11"/>
      <c r="E26" s="13"/>
      <c r="F26" s="12"/>
    </row>
    <row r="27" spans="1:6" ht="18.5">
      <c r="A27" s="11"/>
      <c r="B27" s="12"/>
      <c r="C27" s="12"/>
      <c r="D27" s="11"/>
      <c r="E27" s="13"/>
      <c r="F27" s="12"/>
    </row>
    <row r="28" spans="1:6" s="5" customFormat="1" ht="21">
      <c r="A28" s="22" t="str">
        <f>' RECETTE El MASGOULE'!A25</f>
        <v>Les Missionnaires</v>
      </c>
      <c r="B28" s="22"/>
      <c r="C28" s="435" t="s">
        <v>15</v>
      </c>
      <c r="D28" s="435"/>
      <c r="E28" s="435"/>
      <c r="F28" s="25" t="s">
        <v>33</v>
      </c>
    </row>
    <row r="29" spans="1:6" ht="18.5">
      <c r="A29" s="12"/>
      <c r="B29" s="12"/>
      <c r="C29" s="12"/>
      <c r="D29" s="12"/>
      <c r="E29" s="12"/>
      <c r="F29" s="12"/>
    </row>
    <row r="33" spans="1:3">
      <c r="A33" s="5"/>
      <c r="C33" s="5"/>
    </row>
  </sheetData>
  <mergeCells count="9">
    <mergeCell ref="A18:E18"/>
    <mergeCell ref="A19:E19"/>
    <mergeCell ref="A23:E23"/>
    <mergeCell ref="C28:E28"/>
    <mergeCell ref="A3:D3"/>
    <mergeCell ref="A7:F7"/>
    <mergeCell ref="A8:F8"/>
    <mergeCell ref="A11:E11"/>
    <mergeCell ref="A12:E12"/>
  </mergeCells>
  <pageMargins left="0.63" right="0.46" top="0.7" bottom="0.75" header="0.3" footer="0.3"/>
  <pageSetup paperSize="9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11" workbookViewId="0">
      <selection activeCell="B17" sqref="B17:D17"/>
    </sheetView>
  </sheetViews>
  <sheetFormatPr baseColWidth="10" defaultColWidth="11.453125" defaultRowHeight="14.5"/>
  <cols>
    <col min="1" max="1" width="12.1796875" style="5" customWidth="1"/>
    <col min="2" max="2" width="15.81640625" style="5" customWidth="1"/>
    <col min="3" max="3" width="27.1796875" style="49" customWidth="1"/>
    <col min="4" max="4" width="23.81640625" style="5" customWidth="1"/>
    <col min="5" max="5" width="31.54296875" style="5" customWidth="1"/>
    <col min="6" max="16384" width="11.453125" style="4"/>
  </cols>
  <sheetData>
    <row r="1" spans="1:6" ht="22">
      <c r="A1" s="228" t="s">
        <v>51</v>
      </c>
      <c r="B1" s="228"/>
      <c r="C1" s="233"/>
      <c r="D1" s="246"/>
      <c r="E1" s="222"/>
    </row>
    <row r="2" spans="1:6" ht="22">
      <c r="A2" s="249" t="s">
        <v>1</v>
      </c>
      <c r="B2" s="249"/>
      <c r="C2" s="250"/>
      <c r="D2" s="249"/>
      <c r="E2" s="222"/>
    </row>
    <row r="3" spans="1:6" ht="22">
      <c r="A3" s="228" t="s">
        <v>2</v>
      </c>
      <c r="B3" s="228"/>
      <c r="C3" s="233"/>
      <c r="D3" s="248"/>
      <c r="E3" s="222"/>
    </row>
    <row r="4" spans="1:6">
      <c r="A4" s="251"/>
      <c r="B4" s="251"/>
      <c r="C4" s="252"/>
      <c r="D4" s="251"/>
      <c r="E4" s="251"/>
    </row>
    <row r="5" spans="1:6" s="308" customFormat="1" ht="15.5">
      <c r="A5" s="308" t="s">
        <v>270</v>
      </c>
      <c r="B5" s="309"/>
      <c r="C5" s="309"/>
      <c r="D5" s="309"/>
      <c r="E5" s="310"/>
      <c r="F5" s="310"/>
    </row>
    <row r="10" spans="1:6" s="91" customFormat="1" ht="30.75" customHeight="1">
      <c r="A10" s="451" t="s">
        <v>143</v>
      </c>
      <c r="B10" s="451"/>
      <c r="C10" s="451"/>
      <c r="D10" s="451"/>
      <c r="E10" s="451"/>
    </row>
    <row r="11" spans="1:6" ht="26.25" customHeight="1">
      <c r="A11" s="439" t="s">
        <v>262</v>
      </c>
      <c r="B11" s="439"/>
      <c r="C11" s="439"/>
      <c r="D11" s="439"/>
      <c r="E11" s="439"/>
    </row>
    <row r="12" spans="1:6" ht="21.75" customHeight="1" thickBot="1">
      <c r="A12" s="145"/>
      <c r="B12" s="145"/>
      <c r="C12" s="145"/>
      <c r="D12" s="145"/>
      <c r="E12" s="148"/>
    </row>
    <row r="13" spans="1:6" s="91" customFormat="1" ht="31.5" customHeight="1" thickBot="1">
      <c r="A13" s="44" t="s">
        <v>75</v>
      </c>
      <c r="B13" s="44" t="s">
        <v>92</v>
      </c>
      <c r="C13" s="44" t="s">
        <v>45</v>
      </c>
      <c r="D13" s="44" t="s">
        <v>46</v>
      </c>
      <c r="E13" s="44" t="s">
        <v>42</v>
      </c>
    </row>
    <row r="14" spans="1:6" s="91" customFormat="1" ht="21.5" thickBot="1">
      <c r="A14" s="57">
        <v>1</v>
      </c>
      <c r="B14" s="50" t="s">
        <v>345</v>
      </c>
      <c r="C14" s="50" t="s">
        <v>362</v>
      </c>
      <c r="D14" s="54" t="s">
        <v>348</v>
      </c>
      <c r="E14" s="56">
        <v>113043</v>
      </c>
    </row>
    <row r="15" spans="1:6" s="91" customFormat="1" ht="21.5" thickBot="1">
      <c r="A15" s="57">
        <v>2</v>
      </c>
      <c r="B15" s="50" t="s">
        <v>345</v>
      </c>
      <c r="C15" s="50" t="s">
        <v>363</v>
      </c>
      <c r="D15" s="54" t="s">
        <v>348</v>
      </c>
      <c r="E15" s="56">
        <v>11000</v>
      </c>
    </row>
    <row r="16" spans="1:6" ht="27.75" customHeight="1" thickBot="1">
      <c r="A16" s="432" t="s">
        <v>35</v>
      </c>
      <c r="B16" s="432"/>
      <c r="C16" s="432"/>
      <c r="D16" s="432"/>
      <c r="E16" s="30">
        <f>SUM(E14:E15)</f>
        <v>124043</v>
      </c>
    </row>
    <row r="17" spans="1:5" ht="37.5" customHeight="1" thickBot="1">
      <c r="A17" s="32"/>
      <c r="B17" s="32"/>
      <c r="C17" s="32"/>
      <c r="D17" s="54"/>
      <c r="E17" s="33"/>
    </row>
    <row r="18" spans="1:5" ht="26.25" customHeight="1" thickBot="1">
      <c r="A18" s="432" t="s">
        <v>36</v>
      </c>
      <c r="B18" s="432"/>
      <c r="C18" s="432"/>
      <c r="D18" s="432"/>
      <c r="E18" s="30">
        <f>SUM(E17:E17)</f>
        <v>0</v>
      </c>
    </row>
    <row r="19" spans="1:5" ht="21.5" thickBot="1">
      <c r="A19" s="433"/>
      <c r="B19" s="433"/>
      <c r="C19" s="433"/>
      <c r="D19" s="433"/>
      <c r="E19" s="433"/>
    </row>
    <row r="20" spans="1:5" ht="30" customHeight="1" thickBot="1">
      <c r="A20" s="434" t="s">
        <v>43</v>
      </c>
      <c r="B20" s="434"/>
      <c r="C20" s="434"/>
      <c r="D20" s="434"/>
      <c r="E20" s="29">
        <f>+E16+E18</f>
        <v>124043</v>
      </c>
    </row>
    <row r="24" spans="1:5" ht="18.5">
      <c r="A24" s="11" t="str">
        <f>+'RECETTES  QUITT '!A20</f>
        <v>Effectuée le 16/05/2024</v>
      </c>
      <c r="B24" s="4"/>
      <c r="C24" s="51"/>
      <c r="D24" s="7"/>
      <c r="E24" s="4"/>
    </row>
    <row r="25" spans="1:5">
      <c r="B25" s="4"/>
      <c r="C25" s="51"/>
      <c r="D25" s="7"/>
      <c r="E25" s="4"/>
    </row>
    <row r="26" spans="1:5" ht="21">
      <c r="A26" s="22" t="str">
        <f>' RECETTE El MASGOULE'!A25</f>
        <v>Les Missionnaires</v>
      </c>
      <c r="B26" s="22"/>
      <c r="C26" s="435" t="s">
        <v>15</v>
      </c>
      <c r="D26" s="435"/>
      <c r="E26" s="25" t="s">
        <v>33</v>
      </c>
    </row>
  </sheetData>
  <autoFilter ref="A13:E14"/>
  <mergeCells count="7">
    <mergeCell ref="A19:E19"/>
    <mergeCell ref="A20:D20"/>
    <mergeCell ref="C26:D26"/>
    <mergeCell ref="A10:E10"/>
    <mergeCell ref="A11:E11"/>
    <mergeCell ref="A16:D16"/>
    <mergeCell ref="A18:D18"/>
  </mergeCells>
  <pageMargins left="0.55000000000000004" right="0.47" top="0.74803149606299213" bottom="0.74803149606299213" header="0.31" footer="0.31496062992125984"/>
  <pageSetup paperSize="9" scale="8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17" zoomScale="80" zoomScaleNormal="80" workbookViewId="0">
      <selection activeCell="F20" sqref="F20"/>
    </sheetView>
  </sheetViews>
  <sheetFormatPr baseColWidth="10" defaultColWidth="11.453125" defaultRowHeight="20.5"/>
  <cols>
    <col min="1" max="1" width="6.81640625" style="132" customWidth="1"/>
    <col min="2" max="2" width="14.54296875" style="132" customWidth="1"/>
    <col min="3" max="3" width="31.453125" style="132" customWidth="1"/>
    <col min="4" max="4" width="27" style="132" customWidth="1"/>
    <col min="5" max="5" width="20.453125" style="132" customWidth="1"/>
    <col min="6" max="6" width="18.1796875" style="132" customWidth="1"/>
    <col min="7" max="7" width="17.1796875" style="132" customWidth="1"/>
    <col min="8" max="8" width="17" style="132" customWidth="1"/>
    <col min="9" max="9" width="13.26953125" style="132" customWidth="1"/>
    <col min="10" max="10" width="13.7265625" style="132" customWidth="1"/>
    <col min="11" max="11" width="12.26953125" style="132" customWidth="1"/>
    <col min="12" max="12" width="21" style="132" customWidth="1"/>
    <col min="13" max="13" width="23.26953125" style="132" customWidth="1"/>
    <col min="14" max="14" width="17.7265625" style="132" bestFit="1" customWidth="1"/>
    <col min="15" max="16" width="11.453125" style="132"/>
    <col min="17" max="17" width="13.54296875" style="132" bestFit="1" customWidth="1"/>
    <col min="18" max="16384" width="11.453125" style="132"/>
  </cols>
  <sheetData>
    <row r="1" spans="1:14" ht="26.25" customHeight="1">
      <c r="A1" s="20" t="s">
        <v>65</v>
      </c>
      <c r="B1" s="20"/>
      <c r="C1" s="316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4">
      <c r="A2" s="20" t="s">
        <v>1</v>
      </c>
      <c r="B2" s="215"/>
      <c r="C2" s="313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1:14">
      <c r="A3" s="423" t="s">
        <v>2</v>
      </c>
      <c r="B3" s="423"/>
      <c r="C3" s="423"/>
      <c r="D3" s="423"/>
      <c r="E3" s="423"/>
      <c r="F3" s="215"/>
      <c r="G3" s="215"/>
      <c r="H3" s="215"/>
      <c r="I3" s="215"/>
      <c r="J3" s="215"/>
      <c r="K3" s="215"/>
      <c r="L3" s="215"/>
      <c r="M3" s="215"/>
    </row>
    <row r="5" spans="1:14" s="308" customFormat="1" ht="15.5">
      <c r="A5" s="308" t="s">
        <v>270</v>
      </c>
      <c r="B5" s="309"/>
      <c r="C5" s="309"/>
      <c r="D5" s="309"/>
      <c r="E5" s="309"/>
      <c r="F5" s="310"/>
      <c r="G5" s="310"/>
    </row>
    <row r="7" spans="1:14" ht="39" customHeight="1">
      <c r="A7" s="452" t="s">
        <v>138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</row>
    <row r="8" spans="1:14" ht="29.25" customHeight="1" thickBot="1">
      <c r="A8" s="426" t="s">
        <v>262</v>
      </c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</row>
    <row r="9" spans="1:14" ht="44.25" customHeight="1" thickBot="1">
      <c r="A9" s="67" t="s">
        <v>74</v>
      </c>
      <c r="B9" s="67" t="s">
        <v>92</v>
      </c>
      <c r="C9" s="67" t="s">
        <v>350</v>
      </c>
      <c r="D9" s="67" t="s">
        <v>71</v>
      </c>
      <c r="E9" s="68" t="s">
        <v>10</v>
      </c>
      <c r="F9" s="68" t="s">
        <v>11</v>
      </c>
      <c r="G9" s="67" t="s">
        <v>7</v>
      </c>
      <c r="H9" s="67" t="s">
        <v>8</v>
      </c>
      <c r="I9" s="67" t="s">
        <v>9</v>
      </c>
      <c r="J9" s="67" t="s">
        <v>64</v>
      </c>
      <c r="K9" s="67" t="s">
        <v>13</v>
      </c>
      <c r="L9" s="68" t="s">
        <v>93</v>
      </c>
      <c r="M9" s="143" t="s">
        <v>55</v>
      </c>
    </row>
    <row r="10" spans="1:14" ht="68.5" customHeight="1" thickBot="1">
      <c r="A10" s="50">
        <v>1</v>
      </c>
      <c r="B10" s="50" t="s">
        <v>152</v>
      </c>
      <c r="C10" s="50" t="s">
        <v>330</v>
      </c>
      <c r="D10" s="54" t="s">
        <v>351</v>
      </c>
      <c r="E10" s="55">
        <v>8100</v>
      </c>
      <c r="F10" s="55"/>
      <c r="G10" s="55"/>
      <c r="H10" s="55"/>
      <c r="I10" s="55"/>
      <c r="J10" s="55"/>
      <c r="K10" s="55"/>
      <c r="L10" s="34">
        <f>E10-G10-H10-J10-K10-I10</f>
        <v>8100</v>
      </c>
      <c r="M10" s="281" t="s">
        <v>352</v>
      </c>
      <c r="N10" s="274"/>
    </row>
    <row r="11" spans="1:14" ht="64.5" customHeight="1" thickBot="1">
      <c r="A11" s="50">
        <v>2</v>
      </c>
      <c r="B11" s="50" t="s">
        <v>153</v>
      </c>
      <c r="C11" s="50" t="s">
        <v>330</v>
      </c>
      <c r="D11" s="54" t="s">
        <v>353</v>
      </c>
      <c r="E11" s="55">
        <v>4500</v>
      </c>
      <c r="F11" s="55"/>
      <c r="G11" s="55"/>
      <c r="H11" s="55"/>
      <c r="I11" s="55"/>
      <c r="J11" s="55"/>
      <c r="K11" s="55"/>
      <c r="L11" s="34">
        <f t="shared" ref="L11:L18" si="0">E11-G11-H11-J11-K11-I11</f>
        <v>4500</v>
      </c>
      <c r="M11" s="281" t="s">
        <v>352</v>
      </c>
      <c r="N11" s="274"/>
    </row>
    <row r="12" spans="1:14" ht="64.5" customHeight="1" thickBot="1">
      <c r="A12" s="50">
        <v>3</v>
      </c>
      <c r="B12" s="50" t="s">
        <v>154</v>
      </c>
      <c r="C12" s="50" t="s">
        <v>354</v>
      </c>
      <c r="D12" s="54" t="s">
        <v>351</v>
      </c>
      <c r="E12" s="55">
        <v>10500</v>
      </c>
      <c r="F12" s="55"/>
      <c r="G12" s="55"/>
      <c r="H12" s="55"/>
      <c r="I12" s="55"/>
      <c r="J12" s="55"/>
      <c r="K12" s="55"/>
      <c r="L12" s="34">
        <f t="shared" si="0"/>
        <v>10500</v>
      </c>
      <c r="M12" s="281" t="s">
        <v>352</v>
      </c>
      <c r="N12" s="274"/>
    </row>
    <row r="13" spans="1:14" ht="64.5" customHeight="1" thickBot="1">
      <c r="A13" s="50">
        <v>4</v>
      </c>
      <c r="B13" s="50" t="s">
        <v>155</v>
      </c>
      <c r="C13" s="50" t="s">
        <v>355</v>
      </c>
      <c r="D13" s="54" t="s">
        <v>351</v>
      </c>
      <c r="E13" s="55">
        <v>9000</v>
      </c>
      <c r="F13" s="55"/>
      <c r="G13" s="55"/>
      <c r="H13" s="55"/>
      <c r="I13" s="55"/>
      <c r="J13" s="55"/>
      <c r="K13" s="55"/>
      <c r="L13" s="34">
        <f t="shared" si="0"/>
        <v>9000</v>
      </c>
      <c r="M13" s="281" t="s">
        <v>352</v>
      </c>
      <c r="N13" s="274"/>
    </row>
    <row r="14" spans="1:14" ht="64.5" customHeight="1" thickBot="1">
      <c r="A14" s="50">
        <v>5</v>
      </c>
      <c r="B14" s="50" t="s">
        <v>156</v>
      </c>
      <c r="C14" s="50" t="s">
        <v>356</v>
      </c>
      <c r="D14" s="54" t="s">
        <v>306</v>
      </c>
      <c r="E14" s="55">
        <v>12000</v>
      </c>
      <c r="F14" s="55"/>
      <c r="G14" s="55"/>
      <c r="H14" s="55"/>
      <c r="I14" s="55"/>
      <c r="J14" s="55"/>
      <c r="K14" s="55"/>
      <c r="L14" s="34">
        <f t="shared" si="0"/>
        <v>12000</v>
      </c>
      <c r="M14" s="281" t="s">
        <v>352</v>
      </c>
      <c r="N14" s="274"/>
    </row>
    <row r="15" spans="1:14" ht="64.5" customHeight="1" thickBot="1">
      <c r="A15" s="50">
        <v>6</v>
      </c>
      <c r="B15" s="50" t="s">
        <v>149</v>
      </c>
      <c r="C15" s="50" t="s">
        <v>357</v>
      </c>
      <c r="D15" s="54" t="s">
        <v>306</v>
      </c>
      <c r="E15" s="55">
        <v>4500</v>
      </c>
      <c r="F15" s="55"/>
      <c r="G15" s="55"/>
      <c r="H15" s="55"/>
      <c r="I15" s="55"/>
      <c r="J15" s="55"/>
      <c r="K15" s="55"/>
      <c r="L15" s="34">
        <f t="shared" si="0"/>
        <v>4500</v>
      </c>
      <c r="M15" s="281" t="s">
        <v>352</v>
      </c>
      <c r="N15" s="274"/>
    </row>
    <row r="16" spans="1:14" ht="64.5" customHeight="1" thickBot="1">
      <c r="A16" s="50">
        <v>7</v>
      </c>
      <c r="B16" s="50" t="s">
        <v>150</v>
      </c>
      <c r="C16" s="50" t="s">
        <v>339</v>
      </c>
      <c r="D16" s="54" t="s">
        <v>358</v>
      </c>
      <c r="E16" s="55">
        <v>12000</v>
      </c>
      <c r="F16" s="55"/>
      <c r="G16" s="55"/>
      <c r="H16" s="55"/>
      <c r="I16" s="55"/>
      <c r="J16" s="55"/>
      <c r="K16" s="55"/>
      <c r="L16" s="34">
        <f t="shared" si="0"/>
        <v>12000</v>
      </c>
      <c r="M16" s="281" t="s">
        <v>352</v>
      </c>
      <c r="N16" s="274"/>
    </row>
    <row r="17" spans="1:14" ht="64.5" customHeight="1" thickBot="1">
      <c r="A17" s="50">
        <v>8</v>
      </c>
      <c r="B17" s="50" t="s">
        <v>144</v>
      </c>
      <c r="C17" s="50" t="s">
        <v>359</v>
      </c>
      <c r="D17" s="54" t="s">
        <v>360</v>
      </c>
      <c r="E17" s="55">
        <v>11000</v>
      </c>
      <c r="F17" s="55"/>
      <c r="G17" s="55"/>
      <c r="H17" s="55"/>
      <c r="I17" s="55"/>
      <c r="J17" s="55"/>
      <c r="K17" s="55"/>
      <c r="L17" s="34">
        <f t="shared" si="0"/>
        <v>11000</v>
      </c>
      <c r="M17" s="281" t="s">
        <v>361</v>
      </c>
      <c r="N17" s="274"/>
    </row>
    <row r="18" spans="1:14" ht="64.5" customHeight="1" thickBot="1">
      <c r="A18" s="50">
        <v>9</v>
      </c>
      <c r="B18" s="50" t="s">
        <v>145</v>
      </c>
      <c r="C18" s="50" t="s">
        <v>342</v>
      </c>
      <c r="D18" s="54" t="s">
        <v>295</v>
      </c>
      <c r="E18" s="55">
        <v>27000</v>
      </c>
      <c r="F18" s="55"/>
      <c r="G18" s="55"/>
      <c r="H18" s="55"/>
      <c r="I18" s="55"/>
      <c r="J18" s="55"/>
      <c r="K18" s="55"/>
      <c r="L18" s="34">
        <f t="shared" si="0"/>
        <v>27000</v>
      </c>
      <c r="M18" s="281" t="s">
        <v>352</v>
      </c>
      <c r="N18" s="274"/>
    </row>
    <row r="19" spans="1:14" ht="33" customHeight="1" thickBot="1">
      <c r="A19" s="420" t="s">
        <v>32</v>
      </c>
      <c r="B19" s="421"/>
      <c r="C19" s="421"/>
      <c r="D19" s="422"/>
      <c r="E19" s="60">
        <f t="shared" ref="E19:L19" si="1">SUM(E10:E18)</f>
        <v>98600</v>
      </c>
      <c r="F19" s="60">
        <f t="shared" si="1"/>
        <v>0</v>
      </c>
      <c r="G19" s="60">
        <f t="shared" si="1"/>
        <v>0</v>
      </c>
      <c r="H19" s="60">
        <f t="shared" si="1"/>
        <v>0</v>
      </c>
      <c r="I19" s="60">
        <f t="shared" si="1"/>
        <v>0</v>
      </c>
      <c r="J19" s="60">
        <f t="shared" si="1"/>
        <v>0</v>
      </c>
      <c r="K19" s="60">
        <f t="shared" si="1"/>
        <v>0</v>
      </c>
      <c r="L19" s="60">
        <f t="shared" si="1"/>
        <v>98600</v>
      </c>
      <c r="M19" s="60"/>
    </row>
    <row r="20" spans="1:14" ht="28.5" customHeight="1" thickBot="1">
      <c r="A20" s="50"/>
      <c r="B20" s="50"/>
      <c r="C20" s="50"/>
      <c r="D20" s="54"/>
      <c r="E20" s="55"/>
      <c r="F20" s="34"/>
      <c r="G20" s="55"/>
      <c r="H20" s="55"/>
      <c r="I20" s="55"/>
      <c r="J20" s="55"/>
      <c r="K20" s="55"/>
      <c r="L20" s="34">
        <f t="shared" ref="L20" si="2">E20-G20-H20-J20-K20-I20</f>
        <v>0</v>
      </c>
      <c r="M20" s="34"/>
      <c r="N20" s="274"/>
    </row>
    <row r="21" spans="1:14" ht="33.75" customHeight="1" thickBot="1">
      <c r="A21" s="420" t="s">
        <v>37</v>
      </c>
      <c r="B21" s="421"/>
      <c r="C21" s="421"/>
      <c r="D21" s="422"/>
      <c r="E21" s="60">
        <f t="shared" ref="E21:L21" si="3">SUM(E20:E20)</f>
        <v>0</v>
      </c>
      <c r="F21" s="60">
        <f t="shared" si="3"/>
        <v>0</v>
      </c>
      <c r="G21" s="60">
        <f t="shared" si="3"/>
        <v>0</v>
      </c>
      <c r="H21" s="60">
        <f t="shared" si="3"/>
        <v>0</v>
      </c>
      <c r="I21" s="60">
        <f t="shared" si="3"/>
        <v>0</v>
      </c>
      <c r="J21" s="60">
        <f t="shared" si="3"/>
        <v>0</v>
      </c>
      <c r="K21" s="60">
        <f t="shared" si="3"/>
        <v>0</v>
      </c>
      <c r="L21" s="60">
        <f t="shared" si="3"/>
        <v>0</v>
      </c>
      <c r="M21" s="61"/>
    </row>
    <row r="22" spans="1:14" ht="15.75" customHeight="1" thickBot="1">
      <c r="A22" s="427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</row>
    <row r="23" spans="1:14" ht="36.75" customHeight="1" thickBot="1">
      <c r="A23" s="429" t="s">
        <v>14</v>
      </c>
      <c r="B23" s="430"/>
      <c r="C23" s="430"/>
      <c r="D23" s="431"/>
      <c r="E23" s="46">
        <f t="shared" ref="E23:L23" si="4">+E19+E21</f>
        <v>98600</v>
      </c>
      <c r="F23" s="46">
        <f t="shared" si="4"/>
        <v>0</v>
      </c>
      <c r="G23" s="46">
        <f t="shared" si="4"/>
        <v>0</v>
      </c>
      <c r="H23" s="46">
        <f t="shared" si="4"/>
        <v>0</v>
      </c>
      <c r="I23" s="46">
        <f t="shared" si="4"/>
        <v>0</v>
      </c>
      <c r="J23" s="46">
        <f t="shared" si="4"/>
        <v>0</v>
      </c>
      <c r="K23" s="46">
        <f t="shared" si="4"/>
        <v>0</v>
      </c>
      <c r="L23" s="46">
        <f t="shared" si="4"/>
        <v>98600</v>
      </c>
      <c r="M23" s="47"/>
    </row>
    <row r="25" spans="1:14">
      <c r="A25" s="11" t="str">
        <f>+'RECETTES  QUITT '!A20</f>
        <v>Effectuée le 16/05/2024</v>
      </c>
      <c r="E25" s="147"/>
    </row>
    <row r="26" spans="1:14" ht="23.5">
      <c r="A26" s="18" t="str">
        <f>' RECETTE El MASGOULE'!A25</f>
        <v>Les Missionnaires</v>
      </c>
      <c r="E26" s="360" t="s">
        <v>15</v>
      </c>
      <c r="F26" s="360"/>
      <c r="G26" s="360"/>
      <c r="H26" s="360"/>
      <c r="I26" s="360"/>
      <c r="J26" s="360"/>
      <c r="K26" s="359" t="s">
        <v>33</v>
      </c>
      <c r="L26" s="359"/>
      <c r="M26" s="359"/>
    </row>
    <row r="28" spans="1:14">
      <c r="M28" s="131"/>
    </row>
    <row r="29" spans="1:14">
      <c r="L29" s="131"/>
      <c r="M29" s="131"/>
    </row>
    <row r="30" spans="1:14">
      <c r="L30" s="131"/>
      <c r="M30" s="147"/>
    </row>
    <row r="31" spans="1:14">
      <c r="L31" s="131"/>
    </row>
  </sheetData>
  <autoFilter ref="A9:M21"/>
  <mergeCells count="9">
    <mergeCell ref="A23:D23"/>
    <mergeCell ref="E26:J26"/>
    <mergeCell ref="K26:M26"/>
    <mergeCell ref="A19:D19"/>
    <mergeCell ref="A3:E3"/>
    <mergeCell ref="A7:M7"/>
    <mergeCell ref="A8:M8"/>
    <mergeCell ref="A21:D21"/>
    <mergeCell ref="A22:M22"/>
  </mergeCells>
  <phoneticPr fontId="48" type="noConversion"/>
  <pageMargins left="0.2" right="0.13" top="0.42" bottom="0.23" header="0.2" footer="0.2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zoomScaleSheetLayoutView="100" workbookViewId="0">
      <selection activeCell="A29" sqref="A29"/>
    </sheetView>
  </sheetViews>
  <sheetFormatPr baseColWidth="10" defaultColWidth="11.453125" defaultRowHeight="14.5"/>
  <cols>
    <col min="1" max="1" width="11.453125" style="4"/>
    <col min="2" max="2" width="15.1796875" style="4" customWidth="1"/>
    <col min="3" max="3" width="13.1796875" style="4" customWidth="1"/>
    <col min="4" max="4" width="9.1796875" style="4" customWidth="1"/>
    <col min="5" max="5" width="21.54296875" style="4" customWidth="1"/>
    <col min="6" max="6" width="30.453125" style="4" customWidth="1"/>
    <col min="7" max="16384" width="11.453125" style="4"/>
  </cols>
  <sheetData>
    <row r="1" spans="1:7" ht="20.5">
      <c r="A1" s="20" t="s">
        <v>53</v>
      </c>
      <c r="B1" s="20"/>
      <c r="C1" s="20"/>
      <c r="D1" s="20"/>
      <c r="E1" s="8"/>
      <c r="F1" s="8"/>
    </row>
    <row r="2" spans="1:7" ht="20.5">
      <c r="A2" s="20" t="s">
        <v>1</v>
      </c>
      <c r="B2" s="20"/>
      <c r="C2" s="20"/>
      <c r="D2" s="20"/>
      <c r="E2" s="142"/>
      <c r="F2" s="142"/>
    </row>
    <row r="3" spans="1:7" ht="20.5">
      <c r="A3" s="423" t="s">
        <v>2</v>
      </c>
      <c r="B3" s="423"/>
      <c r="C3" s="423"/>
      <c r="D3" s="423"/>
      <c r="E3" s="142"/>
      <c r="F3" s="8"/>
    </row>
    <row r="5" spans="1:7" s="308" customFormat="1" ht="15.5">
      <c r="A5" s="308" t="s">
        <v>270</v>
      </c>
      <c r="B5" s="309"/>
      <c r="C5" s="309"/>
      <c r="D5" s="309"/>
      <c r="E5" s="310"/>
      <c r="F5" s="310"/>
    </row>
    <row r="7" spans="1:7" s="91" customFormat="1" ht="34.5" customHeight="1">
      <c r="A7" s="450" t="s">
        <v>272</v>
      </c>
      <c r="B7" s="450"/>
      <c r="C7" s="450"/>
      <c r="D7" s="450"/>
      <c r="E7" s="450"/>
      <c r="F7" s="450"/>
    </row>
    <row r="8" spans="1:7" ht="27.75" customHeight="1" thickBot="1">
      <c r="A8" s="442" t="s">
        <v>139</v>
      </c>
      <c r="B8" s="442"/>
      <c r="C8" s="442"/>
      <c r="D8" s="442"/>
      <c r="E8" s="442"/>
      <c r="F8" s="442"/>
      <c r="G8" s="146"/>
    </row>
    <row r="9" spans="1:7" ht="25.5" customHeight="1" thickBot="1">
      <c r="A9" s="174" t="s">
        <v>120</v>
      </c>
      <c r="B9" s="175"/>
      <c r="C9" s="175"/>
      <c r="D9" s="175"/>
      <c r="E9" s="175"/>
      <c r="F9" s="175">
        <v>7165</v>
      </c>
      <c r="G9" s="146"/>
    </row>
    <row r="10" spans="1:7" ht="25.5" customHeight="1" thickBot="1">
      <c r="A10" s="176"/>
      <c r="B10" s="177"/>
      <c r="C10" s="177"/>
      <c r="D10" s="177"/>
      <c r="E10" s="177"/>
      <c r="F10" s="178"/>
    </row>
    <row r="11" spans="1:7" ht="25.5" customHeight="1" thickBot="1">
      <c r="A11" s="443" t="s">
        <v>273</v>
      </c>
      <c r="B11" s="443"/>
      <c r="C11" s="443"/>
      <c r="D11" s="443"/>
      <c r="E11" s="443"/>
      <c r="F11" s="192">
        <f>+' RECETTE SEIVANE'!E16</f>
        <v>124043</v>
      </c>
    </row>
    <row r="12" spans="1:7" ht="25.5" customHeight="1" thickBot="1">
      <c r="A12" s="444" t="s">
        <v>274</v>
      </c>
      <c r="B12" s="445"/>
      <c r="C12" s="445"/>
      <c r="D12" s="445"/>
      <c r="E12" s="446"/>
      <c r="F12" s="192">
        <f>+'DEP SEIVANE'!E19</f>
        <v>98600</v>
      </c>
    </row>
    <row r="13" spans="1:7" ht="25.5" customHeight="1" thickBot="1">
      <c r="A13" s="179"/>
      <c r="B13" s="180"/>
      <c r="C13" s="180"/>
      <c r="D13" s="180"/>
      <c r="E13" s="180"/>
      <c r="F13" s="181"/>
    </row>
    <row r="14" spans="1:7" ht="25.5" customHeight="1" thickBot="1">
      <c r="A14" s="185" t="s">
        <v>277</v>
      </c>
      <c r="B14" s="186"/>
      <c r="C14" s="186"/>
      <c r="D14" s="186"/>
      <c r="E14" s="186"/>
      <c r="F14" s="36">
        <f>+F9+F11-F12</f>
        <v>32608</v>
      </c>
    </row>
    <row r="15" spans="1:7" ht="25.5" customHeight="1" thickBot="1">
      <c r="A15" s="176"/>
      <c r="B15" s="177"/>
      <c r="C15" s="177"/>
      <c r="D15" s="177"/>
      <c r="E15" s="177"/>
      <c r="F15" s="178"/>
    </row>
    <row r="16" spans="1:7" ht="25.5" customHeight="1" thickBot="1">
      <c r="A16" s="174" t="s">
        <v>121</v>
      </c>
      <c r="B16" s="183"/>
      <c r="C16" s="183"/>
      <c r="D16" s="183"/>
      <c r="E16" s="183"/>
      <c r="F16" s="175">
        <v>9</v>
      </c>
    </row>
    <row r="17" spans="1:6" ht="25.5" customHeight="1" thickBot="1">
      <c r="A17" s="176"/>
      <c r="B17" s="177"/>
      <c r="C17" s="177"/>
      <c r="D17" s="177"/>
      <c r="E17" s="177"/>
      <c r="F17" s="178"/>
    </row>
    <row r="18" spans="1:6" ht="25.5" customHeight="1" thickBot="1">
      <c r="A18" s="443" t="s">
        <v>275</v>
      </c>
      <c r="B18" s="443"/>
      <c r="C18" s="443"/>
      <c r="D18" s="443"/>
      <c r="E18" s="443"/>
      <c r="F18" s="192">
        <f>+' RECETTE SEIVANE'!E18</f>
        <v>0</v>
      </c>
    </row>
    <row r="19" spans="1:6" ht="25.5" customHeight="1" thickBot="1">
      <c r="A19" s="444" t="s">
        <v>276</v>
      </c>
      <c r="B19" s="445"/>
      <c r="C19" s="445"/>
      <c r="D19" s="445"/>
      <c r="E19" s="446"/>
      <c r="F19" s="192">
        <f>+'DEP SEIVANE'!E21</f>
        <v>0</v>
      </c>
    </row>
    <row r="20" spans="1:6" ht="25.5" customHeight="1" thickBot="1">
      <c r="A20" s="176"/>
      <c r="B20" s="177"/>
      <c r="C20" s="177"/>
      <c r="D20" s="177"/>
      <c r="E20" s="177"/>
      <c r="F20" s="178"/>
    </row>
    <row r="21" spans="1:6" ht="25.5" customHeight="1" thickBot="1">
      <c r="A21" s="182" t="s">
        <v>278</v>
      </c>
      <c r="B21" s="183"/>
      <c r="C21" s="183"/>
      <c r="D21" s="183"/>
      <c r="E21" s="183"/>
      <c r="F21" s="175">
        <f>+F16+F18-F19</f>
        <v>9</v>
      </c>
    </row>
    <row r="22" spans="1:6" ht="25.5" customHeight="1" thickBot="1">
      <c r="A22" s="62"/>
      <c r="B22" s="63"/>
      <c r="C22" s="63"/>
      <c r="D22" s="63"/>
      <c r="E22" s="63"/>
      <c r="F22" s="184"/>
    </row>
    <row r="23" spans="1:6" s="91" customFormat="1" ht="25.5" customHeight="1" thickBot="1">
      <c r="A23" s="447" t="s">
        <v>43</v>
      </c>
      <c r="B23" s="448"/>
      <c r="C23" s="448"/>
      <c r="D23" s="448"/>
      <c r="E23" s="449"/>
      <c r="F23" s="66">
        <f>+F14+F21</f>
        <v>32617</v>
      </c>
    </row>
    <row r="24" spans="1:6" ht="18.5">
      <c r="A24" s="11"/>
      <c r="B24" s="12"/>
      <c r="C24" s="12"/>
      <c r="D24" s="11"/>
      <c r="E24" s="13"/>
      <c r="F24" s="12"/>
    </row>
    <row r="25" spans="1:6" ht="18.5">
      <c r="A25" s="11"/>
      <c r="B25" s="12"/>
      <c r="C25" s="12"/>
      <c r="D25" s="11"/>
      <c r="E25" s="13"/>
      <c r="F25" s="12"/>
    </row>
    <row r="26" spans="1:6" ht="18.5">
      <c r="A26" s="11" t="str">
        <f>+'RECETTES  QUITT '!A20</f>
        <v>Effectuée le 16/05/2024</v>
      </c>
      <c r="B26" s="12"/>
      <c r="C26" s="12"/>
      <c r="D26" s="11"/>
      <c r="E26" s="13"/>
      <c r="F26" s="12"/>
    </row>
    <row r="27" spans="1:6" ht="18.5">
      <c r="A27" s="11"/>
      <c r="B27" s="12"/>
      <c r="C27" s="12"/>
      <c r="D27" s="11"/>
      <c r="E27" s="13"/>
      <c r="F27" s="12"/>
    </row>
    <row r="28" spans="1:6" s="5" customFormat="1" ht="21">
      <c r="A28" s="22" t="str">
        <f>' RECETTE SEIVANE'!A26</f>
        <v>Les Missionnaires</v>
      </c>
      <c r="B28" s="22"/>
      <c r="C28" s="435" t="s">
        <v>15</v>
      </c>
      <c r="D28" s="435"/>
      <c r="E28" s="435"/>
      <c r="F28" s="25" t="s">
        <v>33</v>
      </c>
    </row>
    <row r="29" spans="1:6" ht="18.5">
      <c r="A29" s="12"/>
      <c r="B29" s="12"/>
      <c r="C29" s="12"/>
      <c r="D29" s="12"/>
      <c r="E29" s="12"/>
      <c r="F29" s="12"/>
    </row>
    <row r="33" spans="1:3">
      <c r="A33" s="5"/>
      <c r="C33" s="5"/>
    </row>
  </sheetData>
  <mergeCells count="9">
    <mergeCell ref="A18:E18"/>
    <mergeCell ref="A19:E19"/>
    <mergeCell ref="A23:E23"/>
    <mergeCell ref="C28:E28"/>
    <mergeCell ref="A3:D3"/>
    <mergeCell ref="A7:F7"/>
    <mergeCell ref="A8:F8"/>
    <mergeCell ref="A11:E11"/>
    <mergeCell ref="A12:E12"/>
  </mergeCells>
  <pageMargins left="0.63" right="0.46" top="0.7" bottom="0.75" header="0.3" footer="0.3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A11" workbookViewId="0">
      <selection activeCell="A15" sqref="A15:XFD17"/>
    </sheetView>
  </sheetViews>
  <sheetFormatPr baseColWidth="10" defaultColWidth="11.453125" defaultRowHeight="18.5"/>
  <cols>
    <col min="1" max="1" width="10.453125" style="12" customWidth="1"/>
    <col min="2" max="2" width="17.54296875" style="12" customWidth="1"/>
    <col min="3" max="3" width="12.81640625" style="12" customWidth="1"/>
    <col min="4" max="4" width="26.1796875" style="12" customWidth="1"/>
    <col min="5" max="5" width="29.453125" style="12" customWidth="1"/>
    <col min="6" max="7" width="11.453125" style="12"/>
    <col min="8" max="8" width="25.1796875" style="12" customWidth="1"/>
    <col min="9" max="9" width="29.453125" style="12" customWidth="1"/>
    <col min="10" max="16384" width="11.453125" style="12"/>
  </cols>
  <sheetData>
    <row r="1" spans="1:9" s="4" customFormat="1" ht="22">
      <c r="A1" s="228" t="s">
        <v>53</v>
      </c>
      <c r="B1" s="253"/>
      <c r="C1" s="253"/>
      <c r="D1" s="227"/>
      <c r="E1"/>
    </row>
    <row r="2" spans="1:9" s="4" customFormat="1" ht="22">
      <c r="A2" s="228" t="s">
        <v>1</v>
      </c>
      <c r="B2" s="253"/>
      <c r="C2" s="253"/>
      <c r="D2" s="227"/>
      <c r="E2"/>
    </row>
    <row r="3" spans="1:9" s="4" customFormat="1" ht="22">
      <c r="A3" s="20" t="s">
        <v>2</v>
      </c>
      <c r="B3" s="253"/>
      <c r="C3" s="253"/>
      <c r="D3" s="227"/>
      <c r="E3"/>
    </row>
    <row r="4" spans="1:9" s="4" customFormat="1">
      <c r="A4" s="26"/>
      <c r="B4" s="149"/>
      <c r="C4" s="149"/>
      <c r="D4" s="12"/>
    </row>
    <row r="5" spans="1:9" s="308" customFormat="1" ht="15.5">
      <c r="A5" s="308" t="s">
        <v>270</v>
      </c>
      <c r="B5" s="309"/>
      <c r="C5" s="309"/>
      <c r="D5" s="309"/>
      <c r="E5" s="310"/>
      <c r="F5" s="310"/>
    </row>
    <row r="6" spans="1:9" s="4" customFormat="1">
      <c r="A6" s="26"/>
      <c r="B6" s="149"/>
      <c r="C6" s="149"/>
      <c r="D6" s="12"/>
    </row>
    <row r="7" spans="1:9" ht="39" customHeight="1">
      <c r="A7" s="450" t="s">
        <v>263</v>
      </c>
      <c r="B7" s="450"/>
      <c r="C7" s="450"/>
      <c r="D7" s="450"/>
      <c r="E7" s="450"/>
    </row>
    <row r="8" spans="1:9" ht="23.5">
      <c r="A8" s="360"/>
      <c r="B8" s="360"/>
      <c r="C8" s="360"/>
      <c r="D8" s="360"/>
    </row>
    <row r="9" spans="1:9" ht="23.5">
      <c r="A9" s="37"/>
      <c r="B9" s="37"/>
      <c r="C9" s="37"/>
      <c r="D9" s="37"/>
    </row>
    <row r="10" spans="1:9" ht="24" thickBot="1">
      <c r="A10" s="37"/>
      <c r="B10" s="37"/>
      <c r="C10" s="37"/>
      <c r="D10" s="37"/>
    </row>
    <row r="11" spans="1:9" ht="37.5" customHeight="1" thickBot="1">
      <c r="A11" s="168" t="s">
        <v>82</v>
      </c>
      <c r="B11" s="28" t="s">
        <v>44</v>
      </c>
      <c r="C11" s="28" t="s">
        <v>6</v>
      </c>
      <c r="D11" s="28" t="s">
        <v>42</v>
      </c>
      <c r="E11" s="28" t="s">
        <v>45</v>
      </c>
    </row>
    <row r="12" spans="1:9" s="125" customFormat="1" ht="66.75" customHeight="1" thickBot="1">
      <c r="A12" s="151"/>
      <c r="B12" s="152"/>
      <c r="C12" s="153"/>
      <c r="D12" s="154"/>
      <c r="E12" s="153"/>
      <c r="H12" s="12"/>
      <c r="I12" s="12"/>
    </row>
    <row r="13" spans="1:9" s="125" customFormat="1" ht="30.75" customHeight="1" thickBot="1">
      <c r="A13" s="453" t="s">
        <v>41</v>
      </c>
      <c r="B13" s="454"/>
      <c r="C13" s="455"/>
      <c r="D13" s="155">
        <f>SUM(D12)</f>
        <v>0</v>
      </c>
      <c r="E13" s="150"/>
    </row>
    <row r="14" spans="1:9">
      <c r="A14" s="17"/>
      <c r="B14" s="156"/>
      <c r="C14" s="156"/>
      <c r="D14" s="157"/>
    </row>
    <row r="15" spans="1:9">
      <c r="A15" s="17"/>
      <c r="B15" s="156"/>
      <c r="C15" s="156"/>
      <c r="D15" s="157"/>
    </row>
    <row r="16" spans="1:9">
      <c r="A16" s="8" t="str">
        <f>+'RECETTES  QUITT '!A20</f>
        <v>Effectuée le 16/05/2024</v>
      </c>
    </row>
    <row r="18" spans="1:5" ht="21">
      <c r="A18" s="22" t="str">
        <f>' RECETTE SEIVANE'!A26</f>
        <v>Les Missionnaires</v>
      </c>
      <c r="B18" s="11"/>
      <c r="C18" s="11"/>
      <c r="E18" s="25" t="s">
        <v>83</v>
      </c>
    </row>
  </sheetData>
  <mergeCells count="3">
    <mergeCell ref="A7:E7"/>
    <mergeCell ref="A8:D8"/>
    <mergeCell ref="A13:C13"/>
  </mergeCells>
  <pageMargins left="0.7" right="0.7" top="0.75" bottom="0.75" header="0.3" footer="0.3"/>
  <pageSetup paperSize="9"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6" workbookViewId="0">
      <selection activeCell="A23" sqref="A23"/>
    </sheetView>
  </sheetViews>
  <sheetFormatPr baseColWidth="10" defaultColWidth="11.453125" defaultRowHeight="14.5"/>
  <cols>
    <col min="1" max="1" width="20" style="4" customWidth="1"/>
    <col min="2" max="2" width="40.7265625" style="4" customWidth="1"/>
    <col min="3" max="3" width="36" style="4" customWidth="1"/>
    <col min="4" max="16384" width="11.453125" style="4"/>
  </cols>
  <sheetData>
    <row r="1" spans="1:6" ht="20.5">
      <c r="A1" s="20" t="s">
        <v>54</v>
      </c>
      <c r="B1" s="10"/>
      <c r="C1" s="222"/>
    </row>
    <row r="2" spans="1:6" ht="20.5">
      <c r="A2" s="20" t="s">
        <v>1</v>
      </c>
      <c r="B2" s="10"/>
      <c r="C2" s="222"/>
    </row>
    <row r="3" spans="1:6" ht="20.5">
      <c r="A3" s="20" t="s">
        <v>16</v>
      </c>
      <c r="B3" s="10"/>
      <c r="C3" s="222"/>
    </row>
    <row r="4" spans="1:6" ht="15.5">
      <c r="A4" s="158"/>
      <c r="B4" s="83"/>
      <c r="C4" s="83"/>
    </row>
    <row r="5" spans="1:6" s="308" customFormat="1" ht="15.5">
      <c r="A5" s="308" t="s">
        <v>270</v>
      </c>
      <c r="B5" s="309"/>
      <c r="C5" s="309"/>
      <c r="D5" s="309"/>
      <c r="E5" s="310"/>
      <c r="F5" s="310"/>
    </row>
    <row r="6" spans="1:6" ht="15.5">
      <c r="A6" s="8"/>
      <c r="B6" s="8"/>
      <c r="C6" s="8"/>
    </row>
    <row r="7" spans="1:6" ht="15.5">
      <c r="A7" s="8"/>
      <c r="B7" s="8"/>
      <c r="C7" s="8"/>
    </row>
    <row r="8" spans="1:6" ht="15.5">
      <c r="A8" s="8"/>
      <c r="B8" s="8"/>
      <c r="C8" s="8"/>
    </row>
    <row r="9" spans="1:6" ht="27" customHeight="1">
      <c r="A9" s="456" t="s">
        <v>264</v>
      </c>
      <c r="B9" s="456"/>
      <c r="C9" s="456"/>
    </row>
    <row r="10" spans="1:6" ht="15" thickBot="1">
      <c r="A10" s="49"/>
      <c r="B10" s="49"/>
      <c r="C10" s="49"/>
    </row>
    <row r="11" spans="1:6" ht="30" customHeight="1" thickBot="1">
      <c r="A11" s="52" t="s">
        <v>67</v>
      </c>
      <c r="B11" s="52" t="s">
        <v>100</v>
      </c>
      <c r="C11" s="52" t="s">
        <v>42</v>
      </c>
    </row>
    <row r="12" spans="1:6" ht="31.5" customHeight="1">
      <c r="A12" s="457" t="s">
        <v>257</v>
      </c>
      <c r="B12" s="459" t="s">
        <v>108</v>
      </c>
      <c r="C12" s="461"/>
    </row>
    <row r="13" spans="1:6" ht="31.5" customHeight="1" thickBot="1">
      <c r="A13" s="458"/>
      <c r="B13" s="460"/>
      <c r="C13" s="462"/>
    </row>
    <row r="14" spans="1:6" ht="31.5" customHeight="1">
      <c r="A14" s="458"/>
      <c r="B14" s="459" t="s">
        <v>109</v>
      </c>
      <c r="C14" s="461"/>
    </row>
    <row r="15" spans="1:6" ht="31.5" customHeight="1" thickBot="1">
      <c r="A15" s="458"/>
      <c r="B15" s="460"/>
      <c r="C15" s="462"/>
    </row>
    <row r="16" spans="1:6" s="91" customFormat="1" ht="32.25" customHeight="1" thickBot="1">
      <c r="A16" s="52" t="s">
        <v>41</v>
      </c>
      <c r="B16" s="52"/>
      <c r="C16" s="52">
        <f>SUM(C12:C15)</f>
        <v>0</v>
      </c>
    </row>
    <row r="17" spans="1:3">
      <c r="A17" s="49"/>
      <c r="B17" s="49"/>
      <c r="C17" s="159"/>
    </row>
    <row r="18" spans="1:3">
      <c r="A18" s="49"/>
      <c r="B18" s="49"/>
      <c r="C18" s="160"/>
    </row>
    <row r="19" spans="1:3" ht="18.5">
      <c r="A19" s="11" t="str">
        <f>+'RECETTES  QUITT '!A20</f>
        <v>Effectuée le 16/05/2024</v>
      </c>
    </row>
    <row r="20" spans="1:3">
      <c r="A20" s="5"/>
      <c r="C20" s="102"/>
    </row>
    <row r="22" spans="1:3" ht="23.5">
      <c r="A22" s="18" t="str">
        <f>'P V '!A44:D44</f>
        <v>Les Missionnaires</v>
      </c>
      <c r="B22" s="161"/>
      <c r="C22" s="161" t="s">
        <v>83</v>
      </c>
    </row>
    <row r="24" spans="1:3">
      <c r="C24" s="162"/>
    </row>
    <row r="25" spans="1:3">
      <c r="C25" s="162"/>
    </row>
    <row r="26" spans="1:3">
      <c r="C26" s="162"/>
    </row>
    <row r="27" spans="1:3">
      <c r="C27" s="162"/>
    </row>
    <row r="28" spans="1:3">
      <c r="C28" s="162"/>
    </row>
    <row r="29" spans="1:3">
      <c r="C29" s="162"/>
    </row>
    <row r="30" spans="1:3">
      <c r="C30" s="162"/>
    </row>
    <row r="31" spans="1:3">
      <c r="C31" s="162"/>
    </row>
    <row r="32" spans="1:3">
      <c r="C32" s="162"/>
    </row>
    <row r="33" spans="3:3">
      <c r="C33" s="162"/>
    </row>
    <row r="34" spans="3:3">
      <c r="C34" s="162"/>
    </row>
  </sheetData>
  <mergeCells count="6">
    <mergeCell ref="A9:C9"/>
    <mergeCell ref="A12:A15"/>
    <mergeCell ref="B14:B15"/>
    <mergeCell ref="B12:B13"/>
    <mergeCell ref="C12:C13"/>
    <mergeCell ref="C14:C15"/>
  </mergeCells>
  <pageMargins left="0.7" right="0.7" top="0.75" bottom="0.75" header="0.3" footer="0.3"/>
  <pageSetup paperSize="9"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4" zoomScaleNormal="100" workbookViewId="0">
      <selection activeCell="A29" sqref="A29"/>
    </sheetView>
  </sheetViews>
  <sheetFormatPr baseColWidth="10" defaultColWidth="11.453125" defaultRowHeight="14.5"/>
  <cols>
    <col min="1" max="1" width="20.26953125" style="4" customWidth="1"/>
    <col min="2" max="2" width="32.7265625" style="4" customWidth="1"/>
    <col min="3" max="3" width="12" style="4" customWidth="1"/>
    <col min="4" max="4" width="34.7265625" style="4" customWidth="1"/>
    <col min="5" max="16384" width="11.453125" style="4"/>
  </cols>
  <sheetData>
    <row r="1" spans="1:6" ht="20.5">
      <c r="A1" s="245" t="s">
        <v>51</v>
      </c>
      <c r="B1" s="254"/>
      <c r="C1" s="255"/>
    </row>
    <row r="2" spans="1:6" ht="20.5">
      <c r="A2" s="245" t="s">
        <v>1</v>
      </c>
      <c r="B2" s="254"/>
      <c r="C2" s="255"/>
    </row>
    <row r="3" spans="1:6" ht="20.5">
      <c r="A3" s="245" t="s">
        <v>2</v>
      </c>
      <c r="B3" s="254"/>
      <c r="C3" s="255"/>
    </row>
    <row r="4" spans="1:6" s="308" customFormat="1" ht="15.5">
      <c r="A4" s="308" t="s">
        <v>270</v>
      </c>
      <c r="B4" s="309"/>
      <c r="C4" s="309"/>
      <c r="D4" s="309"/>
      <c r="E4" s="310"/>
      <c r="F4" s="310"/>
    </row>
    <row r="5" spans="1:6" ht="22.5" customHeight="1">
      <c r="A5" s="81"/>
      <c r="B5" s="82"/>
      <c r="C5" s="83"/>
    </row>
    <row r="6" spans="1:6" ht="36" customHeight="1">
      <c r="A6" s="389" t="s">
        <v>271</v>
      </c>
      <c r="B6" s="389"/>
      <c r="C6" s="389"/>
      <c r="D6" s="389"/>
    </row>
    <row r="7" spans="1:6" ht="6" customHeight="1">
      <c r="A7" s="65"/>
      <c r="B7" s="65"/>
      <c r="C7" s="65"/>
    </row>
    <row r="8" spans="1:6" ht="12.75" customHeight="1"/>
    <row r="9" spans="1:6" ht="24" customHeight="1">
      <c r="A9" s="472" t="s">
        <v>167</v>
      </c>
      <c r="B9" s="472"/>
      <c r="C9" s="472"/>
      <c r="D9" s="472"/>
    </row>
    <row r="10" spans="1:6" ht="15" thickBot="1"/>
    <row r="11" spans="1:6" ht="21.5" thickBot="1">
      <c r="A11" s="84" t="s">
        <v>236</v>
      </c>
      <c r="B11" s="463" t="s">
        <v>71</v>
      </c>
      <c r="C11" s="464"/>
      <c r="D11" s="84" t="s">
        <v>241</v>
      </c>
    </row>
    <row r="12" spans="1:6" ht="21.5" thickBot="1">
      <c r="A12" s="85">
        <v>1</v>
      </c>
      <c r="B12" s="465" t="s">
        <v>237</v>
      </c>
      <c r="C12" s="466"/>
      <c r="D12" s="275">
        <v>1000</v>
      </c>
    </row>
    <row r="13" spans="1:6" ht="25.5" customHeight="1" thickBot="1">
      <c r="A13" s="85">
        <v>3</v>
      </c>
      <c r="B13" s="465" t="s">
        <v>238</v>
      </c>
      <c r="C13" s="466"/>
      <c r="D13" s="275">
        <v>2000</v>
      </c>
    </row>
    <row r="14" spans="1:6" ht="21.5" thickBot="1">
      <c r="A14" s="276">
        <v>5</v>
      </c>
      <c r="B14" s="465" t="s">
        <v>239</v>
      </c>
      <c r="C14" s="466"/>
      <c r="D14" s="277">
        <v>1000</v>
      </c>
    </row>
    <row r="15" spans="1:6" ht="21.5" thickBot="1">
      <c r="A15" s="276">
        <v>7</v>
      </c>
      <c r="B15" s="465" t="s">
        <v>240</v>
      </c>
      <c r="C15" s="466"/>
      <c r="D15" s="277">
        <v>1000</v>
      </c>
    </row>
    <row r="16" spans="1:6" ht="21.5" thickBot="1">
      <c r="A16" s="86" t="s">
        <v>170</v>
      </c>
      <c r="B16" s="467"/>
      <c r="C16" s="468"/>
      <c r="D16" s="86">
        <f>SUM(D12:D15)</f>
        <v>5000</v>
      </c>
    </row>
    <row r="18" spans="1:4" ht="26.25" customHeight="1">
      <c r="A18" s="473" t="s">
        <v>235</v>
      </c>
      <c r="B18" s="473"/>
      <c r="C18" s="473"/>
      <c r="D18" s="473"/>
    </row>
    <row r="19" spans="1:4" ht="18.5" thickBot="1">
      <c r="A19" s="212"/>
      <c r="B19" s="212"/>
      <c r="C19" s="212"/>
      <c r="D19" s="212"/>
    </row>
    <row r="20" spans="1:4" ht="21.5" thickBot="1">
      <c r="A20" s="84" t="s">
        <v>233</v>
      </c>
      <c r="B20" s="463" t="s">
        <v>71</v>
      </c>
      <c r="C20" s="464" t="s">
        <v>42</v>
      </c>
      <c r="D20" s="84" t="s">
        <v>234</v>
      </c>
    </row>
    <row r="21" spans="1:4" ht="21.5" thickBot="1">
      <c r="A21" s="276"/>
      <c r="B21" s="465"/>
      <c r="C21" s="466"/>
      <c r="D21" s="277">
        <f>+A21*C21</f>
        <v>0</v>
      </c>
    </row>
    <row r="22" spans="1:4" ht="21.5" thickBot="1">
      <c r="A22" s="86" t="s">
        <v>171</v>
      </c>
      <c r="B22" s="467"/>
      <c r="C22" s="468"/>
      <c r="D22" s="86">
        <f>SUM(D21:D21)</f>
        <v>0</v>
      </c>
    </row>
    <row r="24" spans="1:4" ht="15" thickBot="1"/>
    <row r="25" spans="1:4" ht="21.75" customHeight="1" thickBot="1">
      <c r="A25" s="469" t="s">
        <v>102</v>
      </c>
      <c r="B25" s="470"/>
      <c r="C25" s="471"/>
      <c r="D25" s="86">
        <f>+D16+D22</f>
        <v>5000</v>
      </c>
    </row>
    <row r="26" spans="1:4" ht="7.5" customHeight="1"/>
    <row r="27" spans="1:4" ht="18.5">
      <c r="A27" s="11" t="str">
        <f>+'RECETTES  QUITT '!A20</f>
        <v>Effectuée le 16/05/2024</v>
      </c>
    </row>
    <row r="28" spans="1:4" ht="23.5">
      <c r="A28" s="53" t="str">
        <f>'FRAIS BAN '!A22</f>
        <v>Les Missionnaires</v>
      </c>
      <c r="B28" s="87"/>
      <c r="D28" s="87" t="s">
        <v>83</v>
      </c>
    </row>
  </sheetData>
  <mergeCells count="13">
    <mergeCell ref="B20:C20"/>
    <mergeCell ref="B21:C21"/>
    <mergeCell ref="B22:C22"/>
    <mergeCell ref="A25:C25"/>
    <mergeCell ref="A6:D6"/>
    <mergeCell ref="A9:D9"/>
    <mergeCell ref="A18:D18"/>
    <mergeCell ref="B12:C12"/>
    <mergeCell ref="B13:C13"/>
    <mergeCell ref="B14:C14"/>
    <mergeCell ref="B15:C15"/>
    <mergeCell ref="B11:C11"/>
    <mergeCell ref="B16:C16"/>
  </mergeCells>
  <pageMargins left="0.6" right="0.52" top="0.62" bottom="0.75" header="0.3" footer="0.3"/>
  <pageSetup paperSize="9" scale="9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3" workbookViewId="0">
      <selection activeCell="A24" sqref="A24"/>
    </sheetView>
  </sheetViews>
  <sheetFormatPr baseColWidth="10" defaultColWidth="11" defaultRowHeight="14.5"/>
  <cols>
    <col min="1" max="1" width="19.1796875" style="4" customWidth="1"/>
    <col min="2" max="2" width="31.1796875" style="4" customWidth="1"/>
    <col min="3" max="3" width="19.81640625" style="4" customWidth="1"/>
    <col min="4" max="4" width="27.26953125" style="4" customWidth="1"/>
    <col min="5" max="16384" width="11" style="4"/>
  </cols>
  <sheetData>
    <row r="1" spans="1:6" ht="20.5">
      <c r="A1" s="245" t="s">
        <v>51</v>
      </c>
      <c r="B1" s="254"/>
      <c r="C1" s="255"/>
      <c r="D1" s="222"/>
    </row>
    <row r="2" spans="1:6" ht="20.5">
      <c r="A2" s="245" t="s">
        <v>1</v>
      </c>
      <c r="B2" s="254"/>
      <c r="C2" s="255"/>
      <c r="D2" s="222"/>
    </row>
    <row r="3" spans="1:6" ht="20.5">
      <c r="A3" s="245" t="s">
        <v>2</v>
      </c>
      <c r="B3" s="254"/>
      <c r="C3" s="255"/>
      <c r="D3" s="222"/>
    </row>
    <row r="4" spans="1:6">
      <c r="A4" s="72"/>
      <c r="B4" s="72"/>
      <c r="C4" s="72"/>
      <c r="D4" s="72"/>
    </row>
    <row r="5" spans="1:6" s="308" customFormat="1" ht="15.5">
      <c r="A5" s="308" t="s">
        <v>270</v>
      </c>
      <c r="B5" s="309"/>
      <c r="C5" s="309"/>
      <c r="D5" s="309"/>
      <c r="E5" s="310"/>
      <c r="F5" s="310"/>
    </row>
    <row r="6" spans="1:6">
      <c r="A6" s="72"/>
      <c r="B6" s="72"/>
      <c r="C6" s="72"/>
      <c r="D6" s="72"/>
    </row>
    <row r="7" spans="1:6">
      <c r="A7" s="72"/>
      <c r="B7" s="72"/>
      <c r="C7" s="72"/>
      <c r="D7" s="72"/>
    </row>
    <row r="8" spans="1:6" ht="48" customHeight="1">
      <c r="A8" s="389" t="s">
        <v>265</v>
      </c>
      <c r="B8" s="389"/>
      <c r="C8" s="389"/>
      <c r="D8" s="389"/>
    </row>
    <row r="9" spans="1:6" ht="16" thickBot="1">
      <c r="A9" s="15"/>
      <c r="B9" s="15"/>
      <c r="C9" s="15"/>
      <c r="D9" s="15"/>
    </row>
    <row r="10" spans="1:6" ht="30.75" customHeight="1" thickBot="1">
      <c r="A10" s="73" t="s">
        <v>85</v>
      </c>
      <c r="B10" s="73" t="s">
        <v>86</v>
      </c>
      <c r="C10" s="73" t="s">
        <v>42</v>
      </c>
      <c r="D10" s="73" t="s">
        <v>87</v>
      </c>
    </row>
    <row r="11" spans="1:6" s="88" customFormat="1" ht="21.5" thickBot="1">
      <c r="A11" s="474"/>
      <c r="B11" s="34"/>
      <c r="C11" s="34"/>
      <c r="D11" s="476"/>
    </row>
    <row r="12" spans="1:6" ht="21.5" thickBot="1">
      <c r="A12" s="475"/>
      <c r="B12" s="34"/>
      <c r="C12" s="34"/>
      <c r="D12" s="477"/>
    </row>
    <row r="13" spans="1:6" ht="21.5" thickBot="1">
      <c r="A13" s="474"/>
      <c r="B13" s="34"/>
      <c r="C13" s="34"/>
      <c r="D13" s="477"/>
    </row>
    <row r="14" spans="1:6" ht="21.5" thickBot="1">
      <c r="A14" s="475"/>
      <c r="B14" s="34"/>
      <c r="C14" s="34"/>
      <c r="D14" s="477"/>
    </row>
    <row r="15" spans="1:6" ht="21.5" thickBot="1">
      <c r="A15" s="474"/>
      <c r="B15" s="34"/>
      <c r="C15" s="34"/>
      <c r="D15" s="477"/>
    </row>
    <row r="16" spans="1:6" ht="21.5" thickBot="1">
      <c r="A16" s="475"/>
      <c r="B16" s="34"/>
      <c r="C16" s="34"/>
      <c r="D16" s="477"/>
    </row>
    <row r="17" spans="1:4" ht="21.5" thickBot="1">
      <c r="A17" s="474"/>
      <c r="B17" s="34"/>
      <c r="C17" s="34"/>
      <c r="D17" s="477"/>
    </row>
    <row r="18" spans="1:4" ht="21.5" thickBot="1">
      <c r="A18" s="475"/>
      <c r="B18" s="34"/>
      <c r="C18" s="34"/>
      <c r="D18" s="478"/>
    </row>
    <row r="19" spans="1:4" ht="21.5" thickBot="1">
      <c r="A19" s="74" t="s">
        <v>41</v>
      </c>
      <c r="B19" s="75"/>
      <c r="C19" s="36">
        <f>SUM(C11:C18)</f>
        <v>0</v>
      </c>
      <c r="D19" s="73"/>
    </row>
    <row r="20" spans="1:4" ht="15.5">
      <c r="A20" s="76"/>
      <c r="B20" s="77"/>
      <c r="C20" s="89"/>
      <c r="D20" s="15"/>
    </row>
    <row r="21" spans="1:4" ht="18.5">
      <c r="A21" s="11" t="str">
        <f>+'RECETTES  QUITT '!A20</f>
        <v>Effectuée le 16/05/2024</v>
      </c>
    </row>
    <row r="23" spans="1:4" ht="23.5">
      <c r="A23" s="18" t="str">
        <f>'FRAIS BAN '!A22</f>
        <v>Les Missionnaires</v>
      </c>
      <c r="D23" s="45" t="s">
        <v>83</v>
      </c>
    </row>
    <row r="28" spans="1:4" ht="31">
      <c r="D28" s="78"/>
    </row>
  </sheetData>
  <autoFilter ref="A10:D10">
    <sortState ref="A16:D72">
      <sortCondition ref="A11"/>
    </sortState>
  </autoFilter>
  <mergeCells count="6">
    <mergeCell ref="A15:A16"/>
    <mergeCell ref="A17:A18"/>
    <mergeCell ref="D11:D18"/>
    <mergeCell ref="A8:D8"/>
    <mergeCell ref="A11:A12"/>
    <mergeCell ref="A13:A14"/>
  </mergeCells>
  <pageMargins left="0.64" right="0.48" top="0.75" bottom="0.75" header="0.3" footer="0.3"/>
  <pageSetup paperSize="9" scale="9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2" zoomScaleNormal="100" workbookViewId="0">
      <selection activeCell="A24" sqref="A24"/>
    </sheetView>
  </sheetViews>
  <sheetFormatPr baseColWidth="10" defaultColWidth="11.453125" defaultRowHeight="14.5"/>
  <cols>
    <col min="1" max="1" width="17.81640625" style="4" customWidth="1"/>
    <col min="2" max="2" width="27.81640625" style="4" customWidth="1"/>
    <col min="3" max="3" width="27.26953125" style="4" customWidth="1"/>
    <col min="4" max="4" width="38.1796875" style="4" customWidth="1"/>
    <col min="5" max="16384" width="11.453125" style="4"/>
  </cols>
  <sheetData>
    <row r="1" spans="1:6" ht="20.5">
      <c r="A1" s="245" t="s">
        <v>51</v>
      </c>
      <c r="B1" s="245"/>
      <c r="C1" s="255"/>
      <c r="D1" s="255"/>
    </row>
    <row r="2" spans="1:6" ht="20.5">
      <c r="A2" s="245" t="s">
        <v>1</v>
      </c>
      <c r="B2" s="245"/>
      <c r="C2" s="255"/>
      <c r="D2" s="255"/>
    </row>
    <row r="3" spans="1:6" ht="20.5">
      <c r="A3" s="245" t="s">
        <v>2</v>
      </c>
      <c r="B3" s="245"/>
      <c r="C3" s="255"/>
      <c r="D3" s="255"/>
    </row>
    <row r="5" spans="1:6" s="308" customFormat="1" ht="15.5">
      <c r="A5" s="308" t="s">
        <v>270</v>
      </c>
      <c r="B5" s="309"/>
      <c r="C5" s="309"/>
      <c r="D5" s="309"/>
      <c r="E5" s="310"/>
      <c r="F5" s="310"/>
    </row>
    <row r="9" spans="1:6" ht="27.5" customHeight="1">
      <c r="A9" s="479" t="s">
        <v>266</v>
      </c>
      <c r="B9" s="479"/>
      <c r="C9" s="479"/>
      <c r="D9" s="479"/>
    </row>
    <row r="10" spans="1:6" ht="15" thickBot="1"/>
    <row r="11" spans="1:6" ht="35.25" customHeight="1" thickBot="1">
      <c r="A11" s="270" t="s">
        <v>44</v>
      </c>
      <c r="B11" s="270" t="s">
        <v>45</v>
      </c>
      <c r="C11" s="163" t="s">
        <v>68</v>
      </c>
      <c r="D11" s="163" t="s">
        <v>95</v>
      </c>
    </row>
    <row r="12" spans="1:6" s="91" customFormat="1" ht="26.25" customHeight="1" thickBot="1">
      <c r="A12" s="272"/>
      <c r="B12" s="273"/>
      <c r="C12" s="269"/>
      <c r="D12" s="269"/>
    </row>
    <row r="13" spans="1:6" s="91" customFormat="1" ht="26.25" customHeight="1" thickBot="1">
      <c r="A13" s="272"/>
      <c r="B13" s="273"/>
      <c r="C13" s="269"/>
      <c r="D13" s="269"/>
    </row>
    <row r="14" spans="1:6" s="91" customFormat="1" ht="26.25" customHeight="1" thickBot="1">
      <c r="A14" s="272"/>
      <c r="B14" s="273"/>
      <c r="C14" s="269"/>
      <c r="D14" s="269"/>
    </row>
    <row r="15" spans="1:6" s="91" customFormat="1" ht="26.25" customHeight="1" thickBot="1">
      <c r="A15" s="272"/>
      <c r="B15" s="273"/>
      <c r="C15" s="269"/>
      <c r="D15" s="269"/>
    </row>
    <row r="16" spans="1:6" s="91" customFormat="1" ht="26.25" customHeight="1" thickBot="1">
      <c r="A16" s="272"/>
      <c r="B16" s="273"/>
      <c r="C16" s="269"/>
      <c r="D16" s="269"/>
    </row>
    <row r="17" spans="1:4" s="91" customFormat="1" ht="26.25" customHeight="1" thickBot="1">
      <c r="A17" s="272"/>
      <c r="B17" s="273"/>
      <c r="C17" s="269"/>
      <c r="D17" s="269"/>
    </row>
    <row r="18" spans="1:4" s="91" customFormat="1" ht="26.25" customHeight="1" thickBot="1">
      <c r="A18" s="272"/>
      <c r="B18" s="273"/>
      <c r="C18" s="269"/>
      <c r="D18" s="269"/>
    </row>
    <row r="19" spans="1:4" s="91" customFormat="1" ht="26.25" customHeight="1" thickBot="1">
      <c r="A19" s="272"/>
      <c r="B19" s="273"/>
      <c r="C19" s="269"/>
      <c r="D19" s="269"/>
    </row>
    <row r="20" spans="1:4" s="91" customFormat="1" ht="26.25" customHeight="1" thickBot="1">
      <c r="A20" s="270" t="s">
        <v>84</v>
      </c>
      <c r="B20" s="271"/>
      <c r="C20" s="163">
        <f>SUM(C12:C19)</f>
        <v>0</v>
      </c>
      <c r="D20" s="163">
        <f>SUM(D12:D19)</f>
        <v>0</v>
      </c>
    </row>
    <row r="21" spans="1:4" ht="18.5">
      <c r="A21" s="12"/>
      <c r="B21" s="12"/>
      <c r="C21" s="12"/>
      <c r="D21" s="12"/>
    </row>
    <row r="22" spans="1:4" ht="18.5">
      <c r="A22" s="11" t="str">
        <f>+'RECETTES  QUITT '!A20</f>
        <v>Effectuée le 16/05/2024</v>
      </c>
      <c r="B22" s="11"/>
    </row>
    <row r="23" spans="1:4" ht="23.5">
      <c r="A23" s="18" t="str">
        <f>'FRAIS BAN '!A22</f>
        <v>Les Missionnaires</v>
      </c>
      <c r="B23" s="18"/>
      <c r="C23" s="37" t="s">
        <v>166</v>
      </c>
      <c r="D23" s="45" t="s">
        <v>83</v>
      </c>
    </row>
  </sheetData>
  <autoFilter ref="A11:D11">
    <sortState ref="A14:D22">
      <sortCondition ref="B13"/>
    </sortState>
  </autoFilter>
  <mergeCells count="1">
    <mergeCell ref="A9:D9"/>
  </mergeCells>
  <pageMargins left="0.4" right="0.31" top="0.75" bottom="0.47" header="0.3" footer="0.3"/>
  <pageSetup paperSize="9"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1" zoomScale="90" zoomScaleNormal="90" workbookViewId="0">
      <selection activeCell="A23" sqref="A23"/>
    </sheetView>
  </sheetViews>
  <sheetFormatPr baseColWidth="10" defaultColWidth="11.453125" defaultRowHeight="14.5"/>
  <cols>
    <col min="1" max="1" width="20.1796875" style="4" customWidth="1"/>
    <col min="2" max="2" width="29.453125" style="4" customWidth="1"/>
    <col min="3" max="3" width="21.7265625" style="4" customWidth="1"/>
    <col min="4" max="4" width="29.26953125" style="4" customWidth="1"/>
    <col min="5" max="16384" width="11.453125" style="4"/>
  </cols>
  <sheetData>
    <row r="1" spans="1:6" ht="20.5">
      <c r="A1" s="245" t="s">
        <v>51</v>
      </c>
      <c r="B1" s="254"/>
      <c r="C1" s="254"/>
      <c r="D1" s="254"/>
    </row>
    <row r="2" spans="1:6" ht="20.5">
      <c r="A2" s="245" t="s">
        <v>1</v>
      </c>
      <c r="B2" s="254"/>
      <c r="C2" s="254"/>
      <c r="D2" s="254"/>
    </row>
    <row r="3" spans="1:6" ht="20.5">
      <c r="A3" s="245" t="s">
        <v>2</v>
      </c>
      <c r="B3" s="254"/>
      <c r="C3" s="254"/>
      <c r="D3" s="254"/>
    </row>
    <row r="5" spans="1:6" s="308" customFormat="1" ht="15.5">
      <c r="A5" s="308" t="s">
        <v>270</v>
      </c>
      <c r="B5" s="309"/>
      <c r="C5" s="309"/>
      <c r="D5" s="309"/>
      <c r="E5" s="310"/>
      <c r="F5" s="310"/>
    </row>
    <row r="8" spans="1:6" ht="53.25" customHeight="1">
      <c r="A8" s="481" t="s">
        <v>104</v>
      </c>
      <c r="B8" s="481"/>
      <c r="C8" s="481"/>
      <c r="D8" s="481"/>
    </row>
    <row r="9" spans="1:6" ht="28.5">
      <c r="A9" s="482" t="s">
        <v>257</v>
      </c>
      <c r="B9" s="482"/>
      <c r="C9" s="482"/>
      <c r="D9" s="482"/>
    </row>
    <row r="10" spans="1:6" ht="15" thickBot="1"/>
    <row r="11" spans="1:6" ht="42.75" customHeight="1" thickBot="1">
      <c r="A11" s="80" t="s">
        <v>44</v>
      </c>
      <c r="B11" s="80" t="s">
        <v>45</v>
      </c>
      <c r="C11" s="80" t="s">
        <v>42</v>
      </c>
      <c r="D11" s="80" t="s">
        <v>119</v>
      </c>
    </row>
    <row r="12" spans="1:6" s="91" customFormat="1" ht="23.25" customHeight="1" thickBot="1">
      <c r="A12" s="213"/>
      <c r="B12" s="195"/>
      <c r="C12" s="90"/>
      <c r="D12" s="195"/>
    </row>
    <row r="13" spans="1:6" s="91" customFormat="1" ht="23.25" customHeight="1" thickBot="1">
      <c r="A13" s="213"/>
      <c r="B13" s="195"/>
      <c r="C13" s="90"/>
      <c r="D13" s="195"/>
    </row>
    <row r="14" spans="1:6" s="91" customFormat="1" ht="23.25" customHeight="1" thickBot="1">
      <c r="A14" s="213"/>
      <c r="B14" s="195"/>
      <c r="C14" s="90"/>
      <c r="D14" s="195"/>
    </row>
    <row r="15" spans="1:6" s="91" customFormat="1" ht="23.25" customHeight="1" thickBot="1">
      <c r="A15" s="213"/>
      <c r="B15" s="195"/>
      <c r="C15" s="90"/>
      <c r="D15" s="195"/>
    </row>
    <row r="16" spans="1:6" s="91" customFormat="1" ht="23.25" customHeight="1" thickBot="1">
      <c r="A16" s="213"/>
      <c r="B16" s="195"/>
      <c r="C16" s="90"/>
      <c r="D16" s="195"/>
    </row>
    <row r="17" spans="1:4" s="91" customFormat="1" ht="23.25" customHeight="1" thickBot="1">
      <c r="A17" s="213"/>
      <c r="B17" s="195"/>
      <c r="C17" s="90"/>
      <c r="D17" s="195"/>
    </row>
    <row r="18" spans="1:4" ht="29.25" customHeight="1" thickBot="1">
      <c r="A18" s="483" t="s">
        <v>84</v>
      </c>
      <c r="B18" s="484"/>
      <c r="C18" s="164">
        <f>SUM(C12:C17)</f>
        <v>0</v>
      </c>
      <c r="D18" s="187"/>
    </row>
    <row r="20" spans="1:4" ht="18.5">
      <c r="A20" s="11" t="str">
        <f>+'RECETTES  QUITT '!A20</f>
        <v>Effectuée le 16/05/2024</v>
      </c>
    </row>
    <row r="22" spans="1:4" ht="23.5">
      <c r="A22" s="18" t="str">
        <f>'H CAISSE'!A28</f>
        <v>Les Missionnaires</v>
      </c>
      <c r="B22" s="360" t="s">
        <v>89</v>
      </c>
      <c r="C22" s="360"/>
      <c r="D22" s="45" t="s">
        <v>83</v>
      </c>
    </row>
    <row r="23" spans="1:4">
      <c r="A23" s="5"/>
      <c r="B23" s="5"/>
      <c r="C23" s="5"/>
      <c r="D23" s="5"/>
    </row>
    <row r="28" spans="1:4" ht="23.5">
      <c r="A28" s="480" t="s">
        <v>76</v>
      </c>
      <c r="B28" s="480"/>
      <c r="C28" s="480"/>
      <c r="D28" s="480"/>
    </row>
  </sheetData>
  <mergeCells count="5">
    <mergeCell ref="A28:D28"/>
    <mergeCell ref="A8:D8"/>
    <mergeCell ref="A9:D9"/>
    <mergeCell ref="A18:B18"/>
    <mergeCell ref="B22:C22"/>
  </mergeCells>
  <pageMargins left="0.52" right="0.54" top="0.75" bottom="0.75" header="0.3" footer="0.3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11</vt:i4>
      </vt:variant>
    </vt:vector>
  </HeadingPairs>
  <TitlesOfParts>
    <vt:vector size="37" baseType="lpstr">
      <vt:lpstr>PG</vt:lpstr>
      <vt:lpstr>DEPUILLEMENT </vt:lpstr>
      <vt:lpstr>PRECOMPTES</vt:lpstr>
      <vt:lpstr>CNAM-CNSS</vt:lpstr>
      <vt:lpstr>MODE REGL</vt:lpstr>
      <vt:lpstr>P V </vt:lpstr>
      <vt:lpstr>SIT APPR</vt:lpstr>
      <vt:lpstr>RECETTES  QUITT </vt:lpstr>
      <vt:lpstr>DEG FONDS</vt:lpstr>
      <vt:lpstr>ANNULLEE</vt:lpstr>
      <vt:lpstr>DEPEN NOTIF DRI</vt:lpstr>
      <vt:lpstr>DEP ADEL BAGROU</vt:lpstr>
      <vt:lpstr> RECETTE ADEL BAGROU</vt:lpstr>
      <vt:lpstr>DISP ADEL BAGROU</vt:lpstr>
      <vt:lpstr> RECETTE El MASGOULE</vt:lpstr>
      <vt:lpstr>DEP El MASGOULE</vt:lpstr>
      <vt:lpstr>DISP El MASGOULE</vt:lpstr>
      <vt:lpstr> RECETTE SEIVANE</vt:lpstr>
      <vt:lpstr>DEP SEIVANE</vt:lpstr>
      <vt:lpstr>DISP SEIVANE</vt:lpstr>
      <vt:lpstr>REJETS</vt:lpstr>
      <vt:lpstr>FRAIS BAN </vt:lpstr>
      <vt:lpstr>H CAISSE</vt:lpstr>
      <vt:lpstr>PENSIONS</vt:lpstr>
      <vt:lpstr>CAC ADEL BAGROU</vt:lpstr>
      <vt:lpstr>RAP AF GM</vt:lpstr>
      <vt:lpstr>ANNULLEE!Zone_d_impression</vt:lpstr>
      <vt:lpstr>'DEP ADEL BAGROU'!Zone_d_impression</vt:lpstr>
      <vt:lpstr>'DEP El MASGOULE'!Zone_d_impression</vt:lpstr>
      <vt:lpstr>'DEP SEIVANE'!Zone_d_impression</vt:lpstr>
      <vt:lpstr>'DEPEN NOTIF DRI'!Zone_d_impression</vt:lpstr>
      <vt:lpstr>'DISP ADEL BAGROU'!Zone_d_impression</vt:lpstr>
      <vt:lpstr>'DISP El MASGOULE'!Zone_d_impression</vt:lpstr>
      <vt:lpstr>'DISP SEIVANE'!Zone_d_impression</vt:lpstr>
      <vt:lpstr>'H CAISSE'!Zone_d_impression</vt:lpstr>
      <vt:lpstr>'P V '!Zone_d_impression</vt:lpstr>
      <vt:lpstr>'RECETTES  QUITT '!Zone_d_impression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Mohmed el moustapha</dc:creator>
  <cp:lastModifiedBy>Republic Of Computer</cp:lastModifiedBy>
  <cp:lastPrinted>2024-05-14T13:15:18Z</cp:lastPrinted>
  <dcterms:created xsi:type="dcterms:W3CDTF">2012-05-20T13:48:10Z</dcterms:created>
  <dcterms:modified xsi:type="dcterms:W3CDTF">2024-05-16T19:08:21Z</dcterms:modified>
</cp:coreProperties>
</file>